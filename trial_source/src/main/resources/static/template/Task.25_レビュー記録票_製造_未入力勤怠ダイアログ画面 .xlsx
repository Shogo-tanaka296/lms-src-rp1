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Users\ASK_001\git\lms-src-rp1\trial_source\src\main\resources\static\template\"/>
    </mc:Choice>
  </mc:AlternateContent>
  <xr:revisionPtr revIDLastSave="0" documentId="13_ncr:1_{B505E52C-DBFC-4515-86B4-D3F02000892C}" xr6:coauthVersionLast="36" xr6:coauthVersionMax="47" xr10:uidLastSave="{00000000-0000-0000-0000-000000000000}"/>
  <bookViews>
    <workbookView xWindow="1155" yWindow="1155" windowWidth="20010" windowHeight="10890" tabRatio="500" firstSheet="1" activeTab="1" xr2:uid="{00000000-000D-0000-FFFF-FFFF00000000}"/>
  </bookViews>
  <sheets>
    <sheet name="レビュー前セルフチェック記録表_Task.25" sheetId="1" r:id="rId1"/>
    <sheet name="レビュー記録表_Task.25" sheetId="2" r:id="rId2"/>
  </sheets>
  <definedNames>
    <definedName name="_xlnm.Print_Area" localSheetId="1">レビュー記録表_Task.25!$A$1:$BC$109</definedName>
    <definedName name="_xlnm.Print_Area" localSheetId="0">レビュー前セルフチェック記録表_Task.25!$A$1:$BC$35</definedName>
  </definedNames>
  <calcPr calcId="191029"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R3" i="2" l="1"/>
  <c r="R3" i="1" l="1"/>
  <c r="S6" i="2" l="1"/>
  <c r="E6" i="2"/>
  <c r="A34" i="1"/>
  <c r="A35" i="1" s="1"/>
  <c r="A32" i="1"/>
  <c r="A28" i="1"/>
  <c r="A29" i="1" s="1"/>
  <c r="A25" i="1"/>
  <c r="A24" i="1"/>
  <c r="A23" i="1"/>
  <c r="A22" i="1"/>
  <c r="A21" i="1"/>
  <c r="A20" i="1"/>
  <c r="A19" i="1"/>
  <c r="A18" i="1"/>
  <c r="A17" i="1"/>
  <c r="A16" i="1"/>
  <c r="A15" i="1"/>
  <c r="A14" i="1"/>
  <c r="A13" i="1"/>
  <c r="A12" i="1"/>
  <c r="A45" i="2"/>
  <c r="A50" i="2"/>
  <c r="A55" i="2"/>
  <c r="A60" i="2"/>
  <c r="A65" i="2"/>
  <c r="A70" i="2"/>
  <c r="A75" i="2"/>
  <c r="A80" i="2"/>
  <c r="A85" i="2"/>
  <c r="A90" i="2"/>
  <c r="A95" i="2" s="1"/>
  <c r="A100" i="2" l="1"/>
  <c r="A105" i="2" l="1"/>
</calcChain>
</file>

<file path=xl/sharedStrings.xml><?xml version="1.0" encoding="utf-8"?>
<sst xmlns="http://schemas.openxmlformats.org/spreadsheetml/2006/main" count="104" uniqueCount="75">
  <si>
    <t>プロジェクト名</t>
  </si>
  <si>
    <t>システム名</t>
  </si>
  <si>
    <t>レビュー前セルフチェック表</t>
  </si>
  <si>
    <t>作成者</t>
  </si>
  <si>
    <t>作成日</t>
  </si>
  <si>
    <t>更新者</t>
  </si>
  <si>
    <t>更新日</t>
  </si>
  <si>
    <t>体験型Java研修</t>
  </si>
  <si>
    <t>LMS学習管理システム</t>
  </si>
  <si>
    <t>成果物</t>
  </si>
  <si>
    <t>機能名</t>
  </si>
  <si>
    <t>確認日時</t>
  </si>
  <si>
    <t>確認日(TL)</t>
  </si>
  <si>
    <t>確認者</t>
  </si>
  <si>
    <t>確認者(TL)</t>
  </si>
  <si>
    <t>判定</t>
  </si>
  <si>
    <t>分類：共通</t>
  </si>
  <si>
    <t>No</t>
  </si>
  <si>
    <t>確認内容</t>
  </si>
  <si>
    <t>確認</t>
  </si>
  <si>
    <t>備考</t>
  </si>
  <si>
    <t>未使用のimport文は削除されていること</t>
  </si>
  <si>
    <t>未使用の変数は削除されていること</t>
  </si>
  <si>
    <t>改修対象のイベント処理が試験対象となっており、改修対象外の項目は試験対象外となっていること。</t>
  </si>
  <si>
    <t>クラスで定義しているメソッドは上から順に、public,protected,privateの順番になっていること</t>
  </si>
  <si>
    <t>インデントがあり、読みやすいコードとなっていること
※Ctrl+shift+Fで自動整形される</t>
  </si>
  <si>
    <t>グローバルなスコープが必要のない変数がグローバル変数で定義されていないこと
※特定の箇所でしか使わない変数は使用する直前で定義されていること</t>
  </si>
  <si>
    <t>ifのネストが深くなっていないこと</t>
  </si>
  <si>
    <t>三項演算子を使った結果、コードが理解しずらいものになっていないこと</t>
  </si>
  <si>
    <t>コメントが必要なコードに（処理が理解しづらいなど）、コメントが記載されていること</t>
  </si>
  <si>
    <t>変数はキャメルケースで定義されていること</t>
  </si>
  <si>
    <t>分類：レビュー依頼準備</t>
  </si>
  <si>
    <t>下記レビュー記録表（原本）のファイル名を対象の機能名に変更すること
※原本_レビュー記録票_製造_機能名.xlsx
変更例）レビュー記録票_製造_コース一覧.xlsx</t>
  </si>
  <si>
    <t>上記ファイルのレビュー記録表（テンプレート）シート内の作成者、作成日、成果物、機能名を記入すること
※レビュー日、レビュー形式などは未記入でよい</t>
  </si>
  <si>
    <t>上記ファイルのレビュー記録票（テンプレート）シート名にタスクNoが記載されていること</t>
  </si>
  <si>
    <t>上記修正後、ファイルをgitへcommit&amp;pushすること</t>
  </si>
  <si>
    <t>レビュー記録表</t>
  </si>
  <si>
    <t>レビュー日時</t>
  </si>
  <si>
    <t>レビュー形式</t>
  </si>
  <si>
    <t>再レビュー</t>
  </si>
  <si>
    <t>開始時刻</t>
  </si>
  <si>
    <t>レビュアー</t>
  </si>
  <si>
    <t>終了時刻</t>
  </si>
  <si>
    <t>レビューイ</t>
  </si>
  <si>
    <t>指摘箇所</t>
  </si>
  <si>
    <t>指摘事項</t>
  </si>
  <si>
    <t>指摘された原因</t>
  </si>
  <si>
    <t>対応内容</t>
  </si>
  <si>
    <t>対応状況</t>
  </si>
  <si>
    <r>
      <t xml:space="preserve">クラスおよびインターフェースのJavaDocコメントが正しく記述されていること（Shift + Alt + J）
例）
</t>
    </r>
    <r>
      <rPr>
        <sz val="10"/>
        <color rgb="FF3F5FBF"/>
        <rFont val="ＭＳ Ｐゴシック"/>
        <family val="3"/>
        <charset val="128"/>
      </rPr>
      <t>/**　</t>
    </r>
    <r>
      <rPr>
        <sz val="10"/>
        <color rgb="FFFF0000"/>
        <rFont val="ＭＳ Ｐゴシック"/>
        <family val="3"/>
        <charset val="128"/>
      </rPr>
      <t>←　アスタリスクは2つ</t>
    </r>
    <r>
      <rPr>
        <sz val="10"/>
        <color rgb="FF3F5FBF"/>
        <rFont val="ＭＳ Ｐゴシック"/>
        <family val="3"/>
        <charset val="128"/>
      </rPr>
      <t xml:space="preserve">
  * ○○コントローラー試験
  * </t>
    </r>
    <r>
      <rPr>
        <b/>
        <sz val="10"/>
        <color theme="3" tint="0.499984740745262"/>
        <rFont val="ＭＳ Ｐゴシック"/>
        <family val="3"/>
        <charset val="128"/>
      </rPr>
      <t>@author</t>
    </r>
    <r>
      <rPr>
        <sz val="10"/>
        <color rgb="FF3F5FBF"/>
        <rFont val="ＭＳ Ｐゴシック"/>
        <family val="3"/>
        <charset val="128"/>
      </rPr>
      <t xml:space="preserve"> 製造太郎  – Task.○○　</t>
    </r>
    <r>
      <rPr>
        <sz val="10"/>
        <color rgb="FFFF0000"/>
        <rFont val="ＭＳ Ｐゴシック"/>
        <family val="3"/>
        <charset val="128"/>
      </rPr>
      <t>←　作成者とタスク番号。クラスを新規作成した人が書く。</t>
    </r>
    <r>
      <rPr>
        <sz val="10"/>
        <color rgb="FF3F5FBF"/>
        <rFont val="ＭＳ Ｐゴシック"/>
        <family val="3"/>
        <charset val="128"/>
      </rPr>
      <t xml:space="preserve">
  */</t>
    </r>
    <rPh sb="89" eb="91">
      <t>シケン</t>
    </rPh>
    <rPh sb="104" eb="108">
      <t>セイゾウタロウ</t>
    </rPh>
    <rPh sb="122" eb="125">
      <t>サクセイシャ</t>
    </rPh>
    <rPh sb="129" eb="131">
      <t>バンゴウ</t>
    </rPh>
    <rPh sb="136" eb="140">
      <t>シンキサクセイ</t>
    </rPh>
    <rPh sb="142" eb="143">
      <t>ヒト</t>
    </rPh>
    <rPh sb="144" eb="145">
      <t>カ</t>
    </rPh>
    <phoneticPr fontId="7"/>
  </si>
  <si>
    <r>
      <t xml:space="preserve">不要なデバッグ用コンソールログは削除されていること
例）
</t>
    </r>
    <r>
      <rPr>
        <sz val="10"/>
        <color theme="3" tint="0.249977111117893"/>
        <rFont val="ＭＳ Ｐゴシック"/>
        <family val="3"/>
        <charset val="128"/>
      </rPr>
      <t xml:space="preserve">System.out.println(“テストログ１”); </t>
    </r>
    <phoneticPr fontId="7"/>
  </si>
  <si>
    <r>
      <t>修正箇所の先頭に下記を記載されていること 
JAVAの場合：</t>
    </r>
    <r>
      <rPr>
        <sz val="10"/>
        <color theme="3" tint="0.249977111117893"/>
        <rFont val="ＭＳ Ｐゴシック"/>
        <family val="3"/>
        <charset val="128"/>
      </rPr>
      <t>// 製造太郎 – Task.○○　　　　　　　　　　　　　</t>
    </r>
    <r>
      <rPr>
        <sz val="10"/>
        <color rgb="FFFF0000"/>
        <rFont val="ＭＳ Ｐゴシック"/>
        <family val="3"/>
        <charset val="128"/>
      </rPr>
      <t>←　単一行コメント</t>
    </r>
    <r>
      <rPr>
        <sz val="10"/>
        <color rgb="FF000000"/>
        <rFont val="ＭＳ Ｐゴシック"/>
        <family val="2"/>
        <charset val="128"/>
      </rPr>
      <t xml:space="preserve">
HTMLまたはXMLの場合：</t>
    </r>
    <r>
      <rPr>
        <sz val="10"/>
        <color theme="3" tint="0.249977111117893"/>
        <rFont val="ＭＳ Ｐゴシック"/>
        <family val="3"/>
        <charset val="128"/>
      </rPr>
      <t>&lt;!-- 製造太郎 – Task.○○ –-&gt;</t>
    </r>
    <r>
      <rPr>
        <sz val="10"/>
        <color rgb="FF000000"/>
        <rFont val="ＭＳ Ｐゴシック"/>
        <family val="2"/>
        <charset val="128"/>
      </rPr>
      <t xml:space="preserve">
CSSの場合：</t>
    </r>
    <r>
      <rPr>
        <sz val="10"/>
        <color theme="3" tint="0.249977111117893"/>
        <rFont val="ＭＳ Ｐゴシック"/>
        <family val="3"/>
        <charset val="128"/>
      </rPr>
      <t>/* 製造太郎 – Task.○○ -*/</t>
    </r>
    <r>
      <rPr>
        <sz val="10"/>
        <color rgb="FF000000"/>
        <rFont val="ＭＳ Ｐゴシック"/>
        <family val="2"/>
        <charset val="128"/>
      </rPr>
      <t xml:space="preserve">
※ファイルに合わせたコメント形式で記述すること</t>
    </r>
    <rPh sb="33" eb="35">
      <t>セイゾウ</t>
    </rPh>
    <rPh sb="35" eb="37">
      <t>タロウ</t>
    </rPh>
    <rPh sb="62" eb="65">
      <t>タンイツギョウ</t>
    </rPh>
    <rPh sb="151" eb="153">
      <t>ケイシキ</t>
    </rPh>
    <rPh sb="154" eb="156">
      <t>キジュツ</t>
    </rPh>
    <phoneticPr fontId="7"/>
  </si>
  <si>
    <t>分類：ソースコードのCommit&amp;Push</t>
    <phoneticPr fontId="7"/>
  </si>
  <si>
    <t>コミット時のコメントが「接頭辞：担当者 Ｔａｓｋ.○○ 変更内容」（改行なし）の形式で記載されていること</t>
    <rPh sb="4" eb="5">
      <t>ジ</t>
    </rPh>
    <rPh sb="34" eb="36">
      <t>カイギョウ</t>
    </rPh>
    <rPh sb="40" eb="42">
      <t>ケイシキ</t>
    </rPh>
    <phoneticPr fontId="7"/>
  </si>
  <si>
    <t>OK</t>
  </si>
  <si>
    <t>不要</t>
  </si>
  <si>
    <t>Task.25,未入力勤怠確認画面の新作成</t>
    <rPh sb="8" eb="11">
      <t>ミニュウリョク</t>
    </rPh>
    <rPh sb="11" eb="13">
      <t>キンタイ</t>
    </rPh>
    <rPh sb="13" eb="15">
      <t>カクニン</t>
    </rPh>
    <rPh sb="15" eb="17">
      <t>ガメン</t>
    </rPh>
    <rPh sb="18" eb="19">
      <t>シン</t>
    </rPh>
    <rPh sb="19" eb="21">
      <t>サクセイ</t>
    </rPh>
    <phoneticPr fontId="7"/>
  </si>
  <si>
    <t>田中</t>
    <rPh sb="0" eb="2">
      <t>タナカ</t>
    </rPh>
    <phoneticPr fontId="7"/>
  </si>
  <si>
    <t>AttendanceController.java
AttendanceServise.java
AttendanceMapper.XML</t>
    <phoneticPr fontId="7"/>
  </si>
  <si>
    <t>NG</t>
  </si>
  <si>
    <t>田中</t>
    <rPh sb="0" eb="2">
      <t>タナカ</t>
    </rPh>
    <phoneticPr fontId="7"/>
  </si>
  <si>
    <t>TStudentAttendanceMapper.xml</t>
    <phoneticPr fontId="7"/>
  </si>
  <si>
    <t xml:space="preserve">TStudentAttendanceMapper.xml
</t>
    <phoneticPr fontId="7"/>
  </si>
  <si>
    <t>コードの記述について</t>
    <rPh sb="4" eb="6">
      <t>キジュツ</t>
    </rPh>
    <phoneticPr fontId="7"/>
  </si>
  <si>
    <t>コードの内容に説明できない部分があった
	AND &lt;![CDATA[
        training_date &lt; ((#{trainingDate})::date)::timestamp
        ]]&gt;</t>
    <rPh sb="4" eb="6">
      <t>ナイヨウ</t>
    </rPh>
    <rPh sb="7" eb="9">
      <t>セツメイ</t>
    </rPh>
    <rPh sb="13" eb="15">
      <t>ブブン</t>
    </rPh>
    <phoneticPr fontId="7"/>
  </si>
  <si>
    <t>対面</t>
    <rPh sb="0" eb="2">
      <t>タイメン</t>
    </rPh>
    <phoneticPr fontId="7"/>
  </si>
  <si>
    <t>田中 将悟</t>
    <rPh sb="0" eb="2">
      <t>タナカ</t>
    </rPh>
    <rPh sb="3" eb="4">
      <t>ショウ</t>
    </rPh>
    <rPh sb="4" eb="5">
      <t>サトル</t>
    </rPh>
    <phoneticPr fontId="7"/>
  </si>
  <si>
    <t>益子講師</t>
    <rPh sb="0" eb="2">
      <t>マシコ</t>
    </rPh>
    <rPh sb="2" eb="4">
      <t>コウシ</t>
    </rPh>
    <phoneticPr fontId="7"/>
  </si>
  <si>
    <t>名前をどう付けたか聞かれた際に、自分で考えたといってしまった。（実際は仕様書通り)</t>
    <phoneticPr fontId="7"/>
  </si>
  <si>
    <t>説明の誤り</t>
    <rPh sb="0" eb="2">
      <t>セツメイ</t>
    </rPh>
    <rPh sb="3" eb="4">
      <t>アヤマ</t>
    </rPh>
    <phoneticPr fontId="7"/>
  </si>
  <si>
    <t>SQLの説明の際、0以上、1以上と言ってしまった。正しくは０より大きい場合。
ニュアンスでいってしまったが記述が変わってしまうので要注意。</t>
    <rPh sb="4" eb="6">
      <t>セツメイ</t>
    </rPh>
    <rPh sb="7" eb="8">
      <t>サイ</t>
    </rPh>
    <rPh sb="10" eb="12">
      <t>イジョウ</t>
    </rPh>
    <rPh sb="14" eb="16">
      <t>イジョウ</t>
    </rPh>
    <rPh sb="17" eb="18">
      <t>イ</t>
    </rPh>
    <rPh sb="25" eb="26">
      <t>タダ</t>
    </rPh>
    <rPh sb="32" eb="33">
      <t>オオ</t>
    </rPh>
    <rPh sb="35" eb="37">
      <t>バアイ</t>
    </rPh>
    <rPh sb="53" eb="55">
      <t>キジュツ</t>
    </rPh>
    <rPh sb="56" eb="57">
      <t>カ</t>
    </rPh>
    <rPh sb="65" eb="68">
      <t>ヨウチュウイ</t>
    </rPh>
    <phoneticPr fontId="7"/>
  </si>
  <si>
    <t>改めてどういう仕様か確認し、記述の機能を確認する</t>
    <rPh sb="0" eb="1">
      <t>アラタ</t>
    </rPh>
    <rPh sb="7" eb="9">
      <t>シヨウ</t>
    </rPh>
    <rPh sb="10" eb="12">
      <t>カクニン</t>
    </rPh>
    <rPh sb="14" eb="16">
      <t>キジュツ</t>
    </rPh>
    <rPh sb="17" eb="19">
      <t>キノウ</t>
    </rPh>
    <rPh sb="20" eb="22">
      <t>カクニン</t>
    </rPh>
    <phoneticPr fontId="7"/>
  </si>
  <si>
    <t>記述自体は間違っていなかったが、仕様書の確認が甘かったので、きちんと確認する。</t>
    <rPh sb="0" eb="2">
      <t>キジュツ</t>
    </rPh>
    <rPh sb="2" eb="4">
      <t>ジタイ</t>
    </rPh>
    <rPh sb="5" eb="7">
      <t>マチガ</t>
    </rPh>
    <rPh sb="16" eb="19">
      <t>シヨウショ</t>
    </rPh>
    <rPh sb="20" eb="22">
      <t>カクニン</t>
    </rPh>
    <rPh sb="23" eb="24">
      <t>アマ</t>
    </rPh>
    <rPh sb="34" eb="36">
      <t>カクニン</t>
    </rPh>
    <phoneticPr fontId="7"/>
  </si>
  <si>
    <t>TStudentAttendanceMapper.java
notEnterCountメソッド</t>
    <phoneticPr fontId="7"/>
  </si>
  <si>
    <t>メソッドの名前について</t>
    <phoneticPr fontId="7"/>
  </si>
</sst>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mm&quot;月&quot;dd&quot;日&quot;"/>
  </numFmts>
  <fonts count="13" x14ac:knownFonts="1">
    <font>
      <sz val="11"/>
      <color rgb="FF000000"/>
      <name val="ＭＳ Ｐゴシック"/>
      <family val="2"/>
      <charset val="128"/>
    </font>
    <font>
      <sz val="11"/>
      <name val="ＭＳ Ｐゴシック"/>
      <family val="3"/>
      <charset val="128"/>
    </font>
    <font>
      <sz val="12"/>
      <name val="ＭＳ Ｐゴシック"/>
      <family val="3"/>
      <charset val="128"/>
    </font>
    <font>
      <sz val="11"/>
      <color rgb="FF000000"/>
      <name val="ＭＳ Ｐゴシック"/>
      <family val="3"/>
      <charset val="128"/>
    </font>
    <font>
      <b/>
      <sz val="11"/>
      <color rgb="FF000000"/>
      <name val="ＭＳ Ｐゴシック"/>
      <family val="3"/>
      <charset val="128"/>
    </font>
    <font>
      <sz val="10"/>
      <color rgb="FF000000"/>
      <name val="ＭＳ Ｐゴシック"/>
      <family val="2"/>
      <charset val="128"/>
    </font>
    <font>
      <sz val="10"/>
      <name val="ＭＳ Ｐゴシック"/>
      <family val="3"/>
      <charset val="1"/>
    </font>
    <font>
      <sz val="6"/>
      <name val="ＭＳ Ｐゴシック"/>
      <family val="2"/>
      <charset val="128"/>
    </font>
    <font>
      <sz val="10"/>
      <color rgb="FF000000"/>
      <name val="ＭＳ Ｐゴシック"/>
      <family val="3"/>
      <charset val="128"/>
    </font>
    <font>
      <sz val="10"/>
      <color rgb="FF3F5FBF"/>
      <name val="ＭＳ Ｐゴシック"/>
      <family val="3"/>
      <charset val="128"/>
    </font>
    <font>
      <sz val="10"/>
      <color rgb="FFFF0000"/>
      <name val="ＭＳ Ｐゴシック"/>
      <family val="3"/>
      <charset val="128"/>
    </font>
    <font>
      <b/>
      <sz val="10"/>
      <color theme="3" tint="0.499984740745262"/>
      <name val="ＭＳ Ｐゴシック"/>
      <family val="3"/>
      <charset val="128"/>
    </font>
    <font>
      <sz val="10"/>
      <color theme="3" tint="0.249977111117893"/>
      <name val="ＭＳ Ｐゴシック"/>
      <family val="3"/>
      <charset val="128"/>
    </font>
  </fonts>
  <fills count="5">
    <fill>
      <patternFill patternType="none"/>
    </fill>
    <fill>
      <patternFill patternType="gray125"/>
    </fill>
    <fill>
      <patternFill patternType="solid">
        <fgColor rgb="FFCCFFFF"/>
        <bgColor rgb="FFCCFFFF"/>
      </patternFill>
    </fill>
    <fill>
      <patternFill patternType="solid">
        <fgColor rgb="FFD9D9D9"/>
        <bgColor rgb="FFC0C0C0"/>
      </patternFill>
    </fill>
    <fill>
      <patternFill patternType="solid">
        <fgColor rgb="FFFFFFFF"/>
        <bgColor rgb="FFFFFFCC"/>
      </patternFill>
    </fill>
  </fills>
  <borders count="14">
    <border>
      <left/>
      <right/>
      <top/>
      <bottom/>
      <diagonal/>
    </border>
    <border>
      <left style="medium">
        <color auto="1"/>
      </left>
      <right style="thin">
        <color auto="1"/>
      </right>
      <top style="medium">
        <color auto="1"/>
      </top>
      <bottom style="thin">
        <color auto="1"/>
      </bottom>
      <diagonal/>
    </border>
    <border>
      <left style="thin">
        <color auto="1"/>
      </left>
      <right style="double">
        <color auto="1"/>
      </right>
      <top style="medium">
        <color auto="1"/>
      </top>
      <bottom style="thin">
        <color auto="1"/>
      </bottom>
      <diagonal/>
    </border>
    <border>
      <left style="double">
        <color auto="1"/>
      </left>
      <right style="double">
        <color auto="1"/>
      </right>
      <top style="medium">
        <color auto="1"/>
      </top>
      <bottom style="thin">
        <color auto="1"/>
      </bottom>
      <diagonal/>
    </border>
    <border>
      <left style="double">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double">
        <color auto="1"/>
      </right>
      <top style="thin">
        <color auto="1"/>
      </top>
      <bottom style="medium">
        <color auto="1"/>
      </bottom>
      <diagonal/>
    </border>
    <border>
      <left style="double">
        <color auto="1"/>
      </left>
      <right style="double">
        <color auto="1"/>
      </right>
      <top style="thin">
        <color auto="1"/>
      </top>
      <bottom style="medium">
        <color auto="1"/>
      </bottom>
      <diagonal/>
    </border>
    <border>
      <left style="double">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thin">
        <color auto="1"/>
      </left>
      <right style="thin">
        <color auto="1"/>
      </right>
      <top style="thin">
        <color auto="1"/>
      </top>
      <bottom style="thin">
        <color auto="1"/>
      </bottom>
      <diagonal/>
    </border>
  </borders>
  <cellStyleXfs count="3">
    <xf numFmtId="0" fontId="0" fillId="0" borderId="0">
      <alignment vertical="center"/>
    </xf>
    <xf numFmtId="0" fontId="1" fillId="0" borderId="0"/>
    <xf numFmtId="0" fontId="1" fillId="0" borderId="0"/>
  </cellStyleXfs>
  <cellXfs count="30">
    <xf numFmtId="0" fontId="0" fillId="0" borderId="0" xfId="0">
      <alignment vertical="center"/>
    </xf>
    <xf numFmtId="0" fontId="0" fillId="4" borderId="13" xfId="0" applyFill="1" applyBorder="1" applyAlignment="1">
      <alignment horizontal="center" vertical="center"/>
    </xf>
    <xf numFmtId="0" fontId="5" fillId="0" borderId="13" xfId="0" applyFont="1" applyBorder="1" applyAlignment="1">
      <alignment horizontal="left" vertical="top" wrapText="1"/>
    </xf>
    <xf numFmtId="0" fontId="0" fillId="0" borderId="13" xfId="0" applyBorder="1" applyAlignment="1">
      <alignment horizontal="center" vertical="center"/>
    </xf>
    <xf numFmtId="0" fontId="4" fillId="3" borderId="13" xfId="0" applyFont="1" applyFill="1" applyBorder="1" applyAlignment="1">
      <alignment horizontal="left" vertical="center"/>
    </xf>
    <xf numFmtId="0" fontId="8" fillId="0" borderId="13" xfId="0" applyFont="1" applyBorder="1" applyAlignment="1">
      <alignment horizontal="left" vertical="top" wrapText="1"/>
    </xf>
    <xf numFmtId="0" fontId="4" fillId="3" borderId="13" xfId="0" applyFont="1" applyFill="1" applyBorder="1" applyAlignment="1">
      <alignment horizontal="center" vertical="center"/>
    </xf>
    <xf numFmtId="0" fontId="6" fillId="0" borderId="13" xfId="0" applyFont="1" applyBorder="1" applyAlignment="1">
      <alignment horizontal="left" vertical="top" wrapText="1"/>
    </xf>
    <xf numFmtId="0" fontId="0" fillId="0" borderId="13" xfId="0" applyBorder="1" applyAlignment="1">
      <alignment vertical="center" wrapText="1"/>
    </xf>
    <xf numFmtId="0" fontId="0" fillId="0" borderId="13" xfId="0" applyBorder="1">
      <alignment vertical="center"/>
    </xf>
    <xf numFmtId="176" fontId="5" fillId="0" borderId="13" xfId="0" applyNumberFormat="1" applyFont="1" applyBorder="1" applyAlignment="1">
      <alignment horizontal="center" vertical="center"/>
    </xf>
    <xf numFmtId="177" fontId="5" fillId="0" borderId="13" xfId="0" applyNumberFormat="1" applyFont="1" applyBorder="1" applyAlignment="1">
      <alignment horizontal="center" vertical="center"/>
    </xf>
    <xf numFmtId="20" fontId="5" fillId="0" borderId="13" xfId="0" applyNumberFormat="1" applyFont="1" applyBorder="1" applyAlignment="1">
      <alignment horizontal="center" vertical="center"/>
    </xf>
    <xf numFmtId="0" fontId="1" fillId="2" borderId="1" xfId="2" applyFill="1" applyBorder="1" applyAlignment="1">
      <alignment horizontal="center" vertical="center"/>
    </xf>
    <xf numFmtId="0" fontId="1" fillId="2" borderId="2" xfId="2" applyFill="1" applyBorder="1" applyAlignment="1">
      <alignment horizontal="center" vertical="center"/>
    </xf>
    <xf numFmtId="0" fontId="2" fillId="2" borderId="3" xfId="2" applyFont="1" applyFill="1" applyBorder="1" applyAlignment="1">
      <alignment horizontal="center" vertical="center" wrapText="1"/>
    </xf>
    <xf numFmtId="0" fontId="1" fillId="2" borderId="4" xfId="2" applyFill="1" applyBorder="1" applyAlignment="1">
      <alignment horizontal="center" vertical="center"/>
    </xf>
    <xf numFmtId="0" fontId="1" fillId="2" borderId="5" xfId="2" applyFill="1" applyBorder="1" applyAlignment="1">
      <alignment horizontal="center" vertical="center"/>
    </xf>
    <xf numFmtId="0" fontId="1" fillId="2" borderId="6" xfId="2" applyFill="1" applyBorder="1" applyAlignment="1">
      <alignment horizontal="center" vertical="center"/>
    </xf>
    <xf numFmtId="0" fontId="3" fillId="0" borderId="7" xfId="2" applyFont="1" applyBorder="1" applyAlignment="1">
      <alignment horizontal="center" vertical="center" wrapText="1"/>
    </xf>
    <xf numFmtId="0" fontId="1" fillId="0" borderId="8" xfId="2" applyBorder="1" applyAlignment="1">
      <alignment horizontal="center" vertical="center" wrapText="1"/>
    </xf>
    <xf numFmtId="0" fontId="2" fillId="0" borderId="9" xfId="2" applyFont="1" applyBorder="1" applyAlignment="1">
      <alignment horizontal="center" vertical="center"/>
    </xf>
    <xf numFmtId="0" fontId="0" fillId="0" borderId="10" xfId="2" applyFont="1" applyBorder="1" applyAlignment="1">
      <alignment horizontal="center" vertical="center"/>
    </xf>
    <xf numFmtId="176" fontId="1" fillId="0" borderId="11" xfId="2" applyNumberFormat="1" applyBorder="1" applyAlignment="1">
      <alignment horizontal="center" vertical="center"/>
    </xf>
    <xf numFmtId="0" fontId="0" fillId="0" borderId="11" xfId="2" applyFont="1" applyBorder="1" applyAlignment="1">
      <alignment horizontal="center" vertical="center"/>
    </xf>
    <xf numFmtId="176" fontId="1" fillId="0" borderId="12" xfId="2" applyNumberFormat="1" applyBorder="1" applyAlignment="1">
      <alignment horizontal="center" vertical="center"/>
    </xf>
    <xf numFmtId="176" fontId="5" fillId="0" borderId="13" xfId="0" applyNumberFormat="1" applyFont="1" applyBorder="1" applyAlignment="1">
      <alignment horizontal="left" vertical="center"/>
    </xf>
    <xf numFmtId="20" fontId="5" fillId="0" borderId="13" xfId="0" applyNumberFormat="1" applyFont="1" applyBorder="1" applyAlignment="1">
      <alignment horizontal="left" vertical="center"/>
    </xf>
    <xf numFmtId="0" fontId="2" fillId="0" borderId="3" xfId="2" applyFont="1" applyBorder="1" applyAlignment="1">
      <alignment horizontal="center" vertical="center" wrapText="1"/>
    </xf>
    <xf numFmtId="0" fontId="0" fillId="0" borderId="7" xfId="2" applyFont="1" applyBorder="1" applyAlignment="1">
      <alignment horizontal="center" vertical="center" wrapText="1"/>
    </xf>
  </cellXfs>
  <cellStyles count="3">
    <cellStyle name="標準" xfId="0" builtinId="0"/>
    <cellStyle name="標準 2 2" xfId="1" xr:uid="{00000000-0005-0000-0000-000006000000}"/>
    <cellStyle name="標準_開発計画_110720_v11" xfId="2" xr:uid="{00000000-0005-0000-0000-000007000000}"/>
  </cellStyles>
  <dxfs count="56">
    <dxf>
      <fill>
        <patternFill>
          <bgColor rgb="FF808080"/>
        </patternFill>
      </fill>
    </dxf>
    <dxf>
      <fill>
        <patternFill>
          <bgColor rgb="FFA6A6A6"/>
        </patternFill>
      </fill>
    </dxf>
    <dxf>
      <fill>
        <patternFill>
          <bgColor rgb="FFFAC090"/>
        </patternFill>
      </fill>
    </dxf>
    <dxf>
      <fill>
        <patternFill>
          <bgColor rgb="FFFAC090"/>
        </patternFill>
      </fill>
    </dxf>
    <dxf>
      <fill>
        <patternFill>
          <bgColor rgb="FFA6A6A6"/>
        </patternFill>
      </fill>
    </dxf>
    <dxf>
      <fill>
        <patternFill>
          <bgColor rgb="FF808080"/>
        </patternFill>
      </fill>
    </dxf>
    <dxf>
      <fill>
        <patternFill>
          <bgColor rgb="FFFAC090"/>
        </patternFill>
      </fill>
    </dxf>
    <dxf>
      <fill>
        <patternFill>
          <bgColor rgb="FFA6A6A6"/>
        </patternFill>
      </fill>
    </dxf>
    <dxf>
      <fill>
        <patternFill>
          <bgColor rgb="FF808080"/>
        </patternFill>
      </fill>
    </dxf>
    <dxf>
      <fill>
        <patternFill>
          <bgColor rgb="FFFAC090"/>
        </patternFill>
      </fill>
    </dxf>
    <dxf>
      <fill>
        <patternFill>
          <bgColor rgb="FFA6A6A6"/>
        </patternFill>
      </fill>
    </dxf>
    <dxf>
      <fill>
        <patternFill>
          <bgColor rgb="FF808080"/>
        </patternFill>
      </fill>
    </dxf>
    <dxf>
      <fill>
        <patternFill>
          <bgColor rgb="FFFAC090"/>
        </patternFill>
      </fill>
    </dxf>
    <dxf>
      <fill>
        <patternFill>
          <bgColor rgb="FFA6A6A6"/>
        </patternFill>
      </fill>
    </dxf>
    <dxf>
      <fill>
        <patternFill>
          <bgColor rgb="FF808080"/>
        </patternFill>
      </fill>
    </dxf>
    <dxf>
      <fill>
        <patternFill>
          <bgColor rgb="FFFAC090"/>
        </patternFill>
      </fill>
    </dxf>
    <dxf>
      <fill>
        <patternFill>
          <bgColor rgb="FFA6A6A6"/>
        </patternFill>
      </fill>
    </dxf>
    <dxf>
      <fill>
        <patternFill>
          <bgColor rgb="FF808080"/>
        </patternFill>
      </fill>
    </dxf>
    <dxf>
      <fill>
        <patternFill>
          <bgColor rgb="FFFAC090"/>
        </patternFill>
      </fill>
    </dxf>
    <dxf>
      <fill>
        <patternFill>
          <bgColor rgb="FFA6A6A6"/>
        </patternFill>
      </fill>
    </dxf>
    <dxf>
      <fill>
        <patternFill>
          <bgColor rgb="FF808080"/>
        </patternFill>
      </fill>
    </dxf>
    <dxf>
      <fill>
        <patternFill>
          <bgColor rgb="FFFAC090"/>
        </patternFill>
      </fill>
    </dxf>
    <dxf>
      <fill>
        <patternFill>
          <bgColor rgb="FFA6A6A6"/>
        </patternFill>
      </fill>
    </dxf>
    <dxf>
      <fill>
        <patternFill>
          <bgColor rgb="FF808080"/>
        </patternFill>
      </fill>
    </dxf>
    <dxf>
      <fill>
        <patternFill>
          <bgColor rgb="FFFAC090"/>
        </patternFill>
      </fill>
    </dxf>
    <dxf>
      <fill>
        <patternFill>
          <bgColor rgb="FFA6A6A6"/>
        </patternFill>
      </fill>
    </dxf>
    <dxf>
      <fill>
        <patternFill>
          <bgColor rgb="FF808080"/>
        </patternFill>
      </fill>
    </dxf>
    <dxf>
      <fill>
        <patternFill>
          <bgColor rgb="FFFAC090"/>
        </patternFill>
      </fill>
    </dxf>
    <dxf>
      <fill>
        <patternFill>
          <bgColor rgb="FFA6A6A6"/>
        </patternFill>
      </fill>
    </dxf>
    <dxf>
      <fill>
        <patternFill>
          <bgColor rgb="FF808080"/>
        </patternFill>
      </fill>
    </dxf>
    <dxf>
      <fill>
        <patternFill>
          <bgColor rgb="FFFAC090"/>
        </patternFill>
      </fill>
    </dxf>
    <dxf>
      <fill>
        <patternFill>
          <bgColor rgb="FFA6A6A6"/>
        </patternFill>
      </fill>
    </dxf>
    <dxf>
      <fill>
        <patternFill>
          <bgColor rgb="FF808080"/>
        </patternFill>
      </fill>
    </dxf>
    <dxf>
      <fill>
        <patternFill>
          <bgColor rgb="FFFAC090"/>
        </patternFill>
      </fill>
    </dxf>
    <dxf>
      <fill>
        <patternFill>
          <bgColor rgb="FFA6A6A6"/>
        </patternFill>
      </fill>
    </dxf>
    <dxf>
      <fill>
        <patternFill>
          <bgColor rgb="FF808080"/>
        </patternFill>
      </fill>
    </dxf>
    <dxf>
      <fill>
        <patternFill>
          <bgColor rgb="FFFAC090"/>
        </patternFill>
      </fill>
    </dxf>
    <dxf>
      <fill>
        <patternFill>
          <bgColor rgb="FFA6A6A6"/>
        </patternFill>
      </fill>
    </dxf>
    <dxf>
      <fill>
        <patternFill>
          <bgColor rgb="FF808080"/>
        </patternFill>
      </fill>
    </dxf>
    <dxf>
      <fill>
        <patternFill>
          <bgColor rgb="FFFAC090"/>
        </patternFill>
      </fill>
    </dxf>
    <dxf>
      <fill>
        <patternFill>
          <bgColor rgb="FFA6A6A6"/>
        </patternFill>
      </fill>
    </dxf>
    <dxf>
      <fill>
        <patternFill>
          <bgColor rgb="FF808080"/>
        </patternFill>
      </fill>
    </dxf>
    <dxf>
      <fill>
        <patternFill>
          <bgColor rgb="FFFAC090"/>
        </patternFill>
      </fill>
    </dxf>
    <dxf>
      <fill>
        <patternFill>
          <bgColor rgb="FFA6A6A6"/>
        </patternFill>
      </fill>
    </dxf>
    <dxf>
      <fill>
        <patternFill>
          <bgColor rgb="FFFAC090"/>
        </patternFill>
      </fill>
    </dxf>
    <dxf>
      <fill>
        <patternFill>
          <bgColor rgb="FFA6A6A6"/>
        </patternFill>
      </fill>
    </dxf>
    <dxf>
      <fill>
        <patternFill>
          <bgColor rgb="FF808080"/>
        </patternFill>
      </fill>
    </dxf>
    <dxf>
      <fill>
        <patternFill>
          <bgColor rgb="FF808080"/>
        </patternFill>
      </fill>
    </dxf>
    <dxf>
      <fill>
        <patternFill>
          <bgColor rgb="FF808080"/>
        </patternFill>
      </fill>
    </dxf>
    <dxf>
      <fill>
        <patternFill>
          <bgColor rgb="FFFAC090"/>
        </patternFill>
      </fill>
    </dxf>
    <dxf>
      <fill>
        <patternFill>
          <bgColor rgb="FFA6A6A6"/>
        </patternFill>
      </fill>
    </dxf>
    <dxf>
      <fill>
        <patternFill>
          <bgColor rgb="FFFAC090"/>
        </patternFill>
      </fill>
    </dxf>
    <dxf>
      <fill>
        <patternFill>
          <bgColor rgb="FFA6A6A6"/>
        </patternFill>
      </fill>
    </dxf>
    <dxf>
      <fill>
        <patternFill>
          <bgColor rgb="FF808080"/>
        </patternFill>
      </fill>
    </dxf>
    <dxf>
      <fill>
        <patternFill>
          <bgColor rgb="FFFAC090"/>
        </patternFill>
      </fill>
    </dxf>
    <dxf>
      <fill>
        <patternFill>
          <bgColor rgb="FFA6A6A6"/>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7F9FB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AC090"/>
      <rgbColor rgb="FF3F5FBF"/>
      <rgbColor rgb="FF33CCCC"/>
      <rgbColor rgb="FF99CC00"/>
      <rgbColor rgb="FFFFCC00"/>
      <rgbColor rgb="FFFF9900"/>
      <rgbColor rgb="FFFF6600"/>
      <rgbColor rgb="FF666699"/>
      <rgbColor rgb="FFA6A6A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oneCell">
    <xdr:from>
      <xdr:col>56</xdr:col>
      <xdr:colOff>160020</xdr:colOff>
      <xdr:row>11</xdr:row>
      <xdr:rowOff>124320</xdr:rowOff>
    </xdr:from>
    <xdr:to>
      <xdr:col>97</xdr:col>
      <xdr:colOff>91980</xdr:colOff>
      <xdr:row>18</xdr:row>
      <xdr:rowOff>6420</xdr:rowOff>
    </xdr:to>
    <xdr:sp macro="" textlink="">
      <xdr:nvSpPr>
        <xdr:cNvPr id="2" name="シェイプ 1">
          <a:extLst>
            <a:ext uri="{FF2B5EF4-FFF2-40B4-BE49-F238E27FC236}">
              <a16:creationId xmlns:a16="http://schemas.microsoft.com/office/drawing/2014/main" id="{00000000-0008-0000-0000-000002000000}"/>
            </a:ext>
          </a:extLst>
        </xdr:cNvPr>
        <xdr:cNvSpPr/>
      </xdr:nvSpPr>
      <xdr:spPr>
        <a:xfrm>
          <a:off x="10401300" y="1968360"/>
          <a:ext cx="7430040" cy="2579580"/>
        </a:xfrm>
        <a:prstGeom prst="rect">
          <a:avLst/>
        </a:prstGeom>
        <a:solidFill>
          <a:srgbClr val="729FCF"/>
        </a:solidFill>
        <a:ln w="0">
          <a:solidFill>
            <a:srgbClr val="3465A4"/>
          </a:solidFill>
        </a:ln>
      </xdr:spPr>
      <xdr:style>
        <a:lnRef idx="0">
          <a:scrgbClr r="0" g="0" b="0"/>
        </a:lnRef>
        <a:fillRef idx="0">
          <a:scrgbClr r="0" g="0" b="0"/>
        </a:fillRef>
        <a:effectRef idx="0">
          <a:scrgbClr r="0" g="0" b="0"/>
        </a:effectRef>
        <a:fontRef idx="minor"/>
      </xdr:style>
      <xdr:txBody>
        <a:bodyPr wrap="none" lIns="0" tIns="0" rIns="0" bIns="0" anchor="t">
          <a:noAutofit/>
        </a:bodyPr>
        <a:lstStyle/>
        <a:p>
          <a:pPr>
            <a:lnSpc>
              <a:spcPct val="100000"/>
            </a:lnSpc>
          </a:pPr>
          <a:r>
            <a:rPr lang="ja-JP" sz="1200" b="0" strike="noStrike" spc="-1">
              <a:latin typeface="游明朝"/>
            </a:rPr>
            <a:t>【レビュー前セルフチェック記録表】</a:t>
          </a:r>
          <a:endParaRPr lang="en-US" sz="1200" b="0" strike="noStrike" spc="-1">
            <a:latin typeface="游明朝"/>
          </a:endParaRPr>
        </a:p>
        <a:p>
          <a:pPr>
            <a:lnSpc>
              <a:spcPct val="100000"/>
            </a:lnSpc>
          </a:pPr>
          <a:r>
            <a:rPr lang="en-US" sz="1200" b="0" strike="noStrike" spc="-1">
              <a:latin typeface="游明朝"/>
            </a:rPr>
            <a:t>※</a:t>
          </a:r>
          <a:r>
            <a:rPr lang="ja-JP" sz="1200" b="0" strike="noStrike" spc="-1">
              <a:latin typeface="游明朝"/>
            </a:rPr>
            <a:t>レビュー前セルフチェックの内容は、レビューを依頼する成果物として</a:t>
          </a:r>
          <a:endParaRPr lang="en-US" sz="1200" b="0" strike="noStrike" spc="-1">
            <a:latin typeface="游明朝"/>
          </a:endParaRPr>
        </a:p>
        <a:p>
          <a:pPr>
            <a:lnSpc>
              <a:spcPct val="100000"/>
            </a:lnSpc>
          </a:pPr>
          <a:r>
            <a:rPr lang="ja-JP" sz="1200" b="0" strike="noStrike" spc="-1">
              <a:latin typeface="游明朝"/>
            </a:rPr>
            <a:t>　必要最低限出来ていないといけない内容です。</a:t>
          </a:r>
          <a:br/>
          <a:r>
            <a:rPr lang="en-US" sz="1200" b="0" strike="noStrike" spc="-1">
              <a:latin typeface="游明朝"/>
            </a:rPr>
            <a:t>※技術力あるなしに関わらず誰でもチェックできる内容です。</a:t>
          </a:r>
        </a:p>
        <a:p>
          <a:pPr>
            <a:lnSpc>
              <a:spcPct val="100000"/>
            </a:lnSpc>
          </a:pPr>
          <a:r>
            <a:rPr lang="en-US" sz="1200" b="0" strike="noStrike" spc="-1">
              <a:latin typeface="游明朝"/>
            </a:rPr>
            <a:t>※</a:t>
          </a:r>
          <a:r>
            <a:rPr lang="ja-JP" sz="1200" b="0" strike="noStrike" spc="-1">
              <a:latin typeface="游明朝"/>
            </a:rPr>
            <a:t>セルフチェック</a:t>
          </a:r>
          <a:r>
            <a:rPr lang="en-US" sz="1200" b="0" strike="noStrike" spc="-1">
              <a:latin typeface="游明朝"/>
            </a:rPr>
            <a:t>(</a:t>
          </a:r>
          <a:r>
            <a:rPr lang="ja-JP" sz="1200" b="0" strike="noStrike" spc="-1">
              <a:latin typeface="游明朝"/>
            </a:rPr>
            <a:t>記載されていることの確認</a:t>
          </a:r>
          <a:r>
            <a:rPr lang="en-US" sz="1200" b="0" strike="noStrike" spc="-1">
              <a:latin typeface="游明朝"/>
            </a:rPr>
            <a:t>)</a:t>
          </a:r>
          <a:r>
            <a:rPr lang="ja-JP" sz="1200" b="0" strike="noStrike" spc="-1">
              <a:latin typeface="游明朝"/>
            </a:rPr>
            <a:t>すらできていないものは成果物の中身は見てもらえません。</a:t>
          </a:r>
          <a:endParaRPr lang="en-US" sz="1200" b="0" strike="noStrike" spc="-1">
            <a:latin typeface="游明朝"/>
          </a:endParaRPr>
        </a:p>
        <a:p>
          <a:pPr>
            <a:lnSpc>
              <a:spcPct val="100000"/>
            </a:lnSpc>
          </a:pPr>
          <a:r>
            <a:rPr lang="en-US" sz="1200" b="0" strike="noStrike" spc="-1">
              <a:latin typeface="游明朝"/>
            </a:rPr>
            <a:t>※</a:t>
          </a:r>
          <a:r>
            <a:rPr lang="ja-JP" sz="1200" b="0" strike="noStrike" spc="-1">
              <a:latin typeface="游明朝"/>
            </a:rPr>
            <a:t>技術者、社会人として必要最低限求められる内容ですので、</a:t>
          </a:r>
          <a:endParaRPr lang="en-US" sz="1200" b="0" strike="noStrike" spc="-1">
            <a:latin typeface="游明朝"/>
          </a:endParaRPr>
        </a:p>
        <a:p>
          <a:pPr>
            <a:lnSpc>
              <a:spcPct val="100000"/>
            </a:lnSpc>
          </a:pPr>
          <a:r>
            <a:rPr lang="ja-JP" sz="1200" b="0" strike="noStrike" spc="-1">
              <a:latin typeface="游明朝"/>
            </a:rPr>
            <a:t>　きちんとチェックした上でレビュー依頼を行ってください。</a:t>
          </a:r>
          <a:br/>
          <a:r>
            <a:rPr lang="en-US" sz="1200" b="0" strike="noStrike" spc="-1">
              <a:latin typeface="游明朝"/>
            </a:rPr>
            <a:t> </a:t>
          </a:r>
        </a:p>
        <a:p>
          <a:pPr>
            <a:lnSpc>
              <a:spcPct val="100000"/>
            </a:lnSpc>
          </a:pPr>
          <a:r>
            <a:rPr lang="en-US" sz="1200" b="0" strike="noStrike" spc="-1">
              <a:latin typeface="游明朝"/>
            </a:rPr>
            <a:t> </a:t>
          </a:r>
          <a:r>
            <a:rPr lang="ja-JP" sz="1200" b="0" strike="noStrike" spc="-1">
              <a:latin typeface="游明朝"/>
            </a:rPr>
            <a:t>記入箇所：作成者、作成日、画面名、機能名、</a:t>
          </a:r>
          <a:endParaRPr lang="en-US" sz="1200" b="0" strike="noStrike" spc="-1">
            <a:latin typeface="游明朝"/>
          </a:endParaRPr>
        </a:p>
        <a:p>
          <a:pPr>
            <a:lnSpc>
              <a:spcPct val="100000"/>
            </a:lnSpc>
          </a:pPr>
          <a:r>
            <a:rPr lang="ja-JP" sz="1200" b="0" strike="noStrike" spc="-1">
              <a:latin typeface="游明朝"/>
            </a:rPr>
            <a:t>　　　　　確認日時、確認者、確認、判定、シート名を記載すること。</a:t>
          </a:r>
          <a:endParaRPr lang="en-US" sz="1200" b="0" strike="noStrike" spc="-1">
            <a:latin typeface="游明朝"/>
          </a:endParaRPr>
        </a:p>
        <a:p>
          <a:pPr>
            <a:lnSpc>
              <a:spcPct val="100000"/>
            </a:lnSpc>
          </a:pPr>
          <a:r>
            <a:rPr lang="en-US" sz="1200" b="0" strike="noStrike" spc="-1">
              <a:latin typeface="游明朝"/>
            </a:rPr>
            <a:t> </a:t>
          </a:r>
        </a:p>
        <a:p>
          <a:pPr>
            <a:lnSpc>
              <a:spcPct val="100000"/>
            </a:lnSpc>
          </a:pPr>
          <a:r>
            <a:rPr lang="en-US" sz="1200" b="0" strike="noStrike" spc="-1">
              <a:latin typeface="游明朝"/>
            </a:rPr>
            <a:t>▼</a:t>
          </a:r>
          <a:r>
            <a:rPr lang="ja-JP" sz="1200" b="0" strike="noStrike" spc="-1">
              <a:latin typeface="游明朝"/>
            </a:rPr>
            <a:t>確認欄</a:t>
          </a:r>
          <a:br/>
          <a:r>
            <a:rPr lang="ja-JP" sz="1200" b="0" strike="noStrike" spc="-1">
              <a:latin typeface="游明朝"/>
            </a:rPr>
            <a:t>・レビュー提出前に必ず確認し、成果物に対して対応できていれば、確認欄に</a:t>
          </a:r>
          <a:r>
            <a:rPr lang="en-US" sz="1200" b="0" strike="noStrike" spc="-1">
              <a:latin typeface="游明朝"/>
            </a:rPr>
            <a:t>OK</a:t>
          </a:r>
          <a:r>
            <a:rPr lang="ja-JP" sz="1200" b="0" strike="noStrike" spc="-1">
              <a:latin typeface="游明朝"/>
            </a:rPr>
            <a:t>と入力。</a:t>
          </a:r>
          <a:endParaRPr lang="en-US" sz="1200" b="0" strike="noStrike" spc="-1">
            <a:latin typeface="游明朝"/>
          </a:endParaRPr>
        </a:p>
        <a:p>
          <a:pPr>
            <a:lnSpc>
              <a:spcPct val="100000"/>
            </a:lnSpc>
          </a:pPr>
          <a:r>
            <a:rPr lang="ja-JP" sz="1200" b="0" strike="noStrike" spc="-1">
              <a:latin typeface="游明朝"/>
            </a:rPr>
            <a:t>・成果物として対象外のものは確認欄に対象外と入力。</a:t>
          </a:r>
          <a:br/>
          <a:r>
            <a:rPr lang="en-US" sz="1200" b="0" strike="noStrike" spc="-1">
              <a:latin typeface="游明朝"/>
            </a:rPr>
            <a:t> </a:t>
          </a:r>
        </a:p>
        <a:p>
          <a:pPr>
            <a:lnSpc>
              <a:spcPct val="100000"/>
            </a:lnSpc>
          </a:pPr>
          <a:r>
            <a:rPr lang="en-US" sz="1200" b="0" strike="noStrike" spc="-1">
              <a:latin typeface="游明朝"/>
            </a:rPr>
            <a:t> </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57</xdr:col>
      <xdr:colOff>15240</xdr:colOff>
      <xdr:row>9</xdr:row>
      <xdr:rowOff>111960</xdr:rowOff>
    </xdr:from>
    <xdr:to>
      <xdr:col>83</xdr:col>
      <xdr:colOff>91920</xdr:colOff>
      <xdr:row>26</xdr:row>
      <xdr:rowOff>48360</xdr:rowOff>
    </xdr:to>
    <xdr:sp macro="" textlink="">
      <xdr:nvSpPr>
        <xdr:cNvPr id="2" name="シェイプ 2">
          <a:extLst>
            <a:ext uri="{FF2B5EF4-FFF2-40B4-BE49-F238E27FC236}">
              <a16:creationId xmlns:a16="http://schemas.microsoft.com/office/drawing/2014/main" id="{00000000-0008-0000-0100-000002000000}"/>
            </a:ext>
          </a:extLst>
        </xdr:cNvPr>
        <xdr:cNvSpPr/>
      </xdr:nvSpPr>
      <xdr:spPr>
        <a:xfrm>
          <a:off x="10439400" y="1613100"/>
          <a:ext cx="4831560" cy="2786280"/>
        </a:xfrm>
        <a:prstGeom prst="rect">
          <a:avLst/>
        </a:prstGeom>
        <a:solidFill>
          <a:srgbClr val="729FCF"/>
        </a:solidFill>
        <a:ln w="0">
          <a:solidFill>
            <a:srgbClr val="3465A4"/>
          </a:solidFill>
        </a:ln>
      </xdr:spPr>
      <xdr:style>
        <a:lnRef idx="0">
          <a:scrgbClr r="0" g="0" b="0"/>
        </a:lnRef>
        <a:fillRef idx="0">
          <a:scrgbClr r="0" g="0" b="0"/>
        </a:fillRef>
        <a:effectRef idx="0">
          <a:scrgbClr r="0" g="0" b="0"/>
        </a:effectRef>
        <a:fontRef idx="minor"/>
      </xdr:style>
      <xdr:txBody>
        <a:bodyPr wrap="none" lIns="0" tIns="0" rIns="0" bIns="0" anchor="t">
          <a:noAutofit/>
        </a:bodyPr>
        <a:lstStyle/>
        <a:p>
          <a:pPr>
            <a:lnSpc>
              <a:spcPct val="100000"/>
            </a:lnSpc>
          </a:pPr>
          <a:r>
            <a:rPr lang="ja-JP" sz="1200" b="0" strike="noStrike" spc="-1">
              <a:latin typeface="游明朝"/>
            </a:rPr>
            <a:t>【レビュー記録表（記入例）】</a:t>
          </a:r>
          <a:endParaRPr lang="en-US" sz="1200" b="0" strike="noStrike" spc="-1">
            <a:latin typeface="游明朝"/>
          </a:endParaRPr>
        </a:p>
        <a:p>
          <a:pPr>
            <a:lnSpc>
              <a:spcPct val="100000"/>
            </a:lnSpc>
          </a:pPr>
          <a:r>
            <a:rPr lang="en-US" sz="1200" b="0" strike="noStrike" spc="-1">
              <a:latin typeface="游明朝"/>
            </a:rPr>
            <a:t>※</a:t>
          </a:r>
          <a:r>
            <a:rPr lang="ja-JP" sz="1200" b="0" strike="noStrike" spc="-1">
              <a:latin typeface="游明朝"/>
            </a:rPr>
            <a:t>レビュー依頼時には不要なシート。</a:t>
          </a:r>
          <a:endParaRPr lang="en-US" sz="1200" b="0" strike="noStrike" spc="-1">
            <a:latin typeface="游明朝"/>
          </a:endParaRPr>
        </a:p>
        <a:p>
          <a:pPr>
            <a:lnSpc>
              <a:spcPct val="100000"/>
            </a:lnSpc>
          </a:pPr>
          <a:r>
            <a:rPr lang="en-US" sz="1200" b="0" strike="noStrike" spc="-1">
              <a:latin typeface="游明朝"/>
            </a:rPr>
            <a:t>※</a:t>
          </a:r>
          <a:r>
            <a:rPr lang="ja-JP" sz="1200" b="0" strike="noStrike" spc="-1">
              <a:latin typeface="游明朝"/>
            </a:rPr>
            <a:t>作成者、作成日、画面名、機能名、シート名を記載すること。</a:t>
          </a:r>
          <a:endParaRPr lang="en-US" sz="1200" b="0" strike="noStrike" spc="-1">
            <a:latin typeface="游明朝"/>
          </a:endParaRPr>
        </a:p>
        <a:p>
          <a:pPr>
            <a:lnSpc>
              <a:spcPct val="100000"/>
            </a:lnSpc>
          </a:pPr>
          <a:r>
            <a:rPr lang="en-US" sz="1200" b="0" strike="noStrike" spc="-1">
              <a:latin typeface="游明朝"/>
            </a:rPr>
            <a:t>▼</a:t>
          </a:r>
          <a:r>
            <a:rPr lang="ja-JP" sz="1200" b="0" strike="noStrike" spc="-1">
              <a:latin typeface="游明朝"/>
            </a:rPr>
            <a:t>初回レビュー依頼時</a:t>
          </a:r>
          <a:endParaRPr lang="en-US" sz="1200" b="0" strike="noStrike" spc="-1">
            <a:latin typeface="游明朝"/>
          </a:endParaRPr>
        </a:p>
        <a:p>
          <a:pPr>
            <a:lnSpc>
              <a:spcPct val="100000"/>
            </a:lnSpc>
          </a:pPr>
          <a:r>
            <a:rPr lang="ja-JP" sz="1200" b="0" strike="noStrike" spc="-1">
              <a:latin typeface="游明朝"/>
            </a:rPr>
            <a:t>記入箇所：作成者、作成日、成果物、機能名、</a:t>
          </a:r>
          <a:endParaRPr lang="en-US" sz="1200" b="0" strike="noStrike" spc="-1">
            <a:latin typeface="游明朝"/>
          </a:endParaRPr>
        </a:p>
        <a:p>
          <a:pPr>
            <a:lnSpc>
              <a:spcPct val="100000"/>
            </a:lnSpc>
          </a:pPr>
          <a:r>
            <a:rPr lang="ja-JP" sz="1200" b="0" strike="noStrike" spc="-1">
              <a:latin typeface="游明朝"/>
            </a:rPr>
            <a:t>　　　　　シートタスク番号</a:t>
          </a:r>
          <a:endParaRPr lang="en-US" sz="1200" b="0" strike="noStrike" spc="-1">
            <a:latin typeface="游明朝"/>
          </a:endParaRPr>
        </a:p>
        <a:p>
          <a:pPr>
            <a:lnSpc>
              <a:spcPct val="100000"/>
            </a:lnSpc>
          </a:pPr>
          <a:r>
            <a:rPr lang="ja-JP" sz="1200" b="0" strike="noStrike" spc="-1">
              <a:latin typeface="游明朝"/>
            </a:rPr>
            <a:t>　　　　　を記載すること。</a:t>
          </a:r>
          <a:br/>
          <a:r>
            <a:rPr lang="en-US" sz="1200" b="0" strike="noStrike" spc="-1">
              <a:latin typeface="游明朝"/>
            </a:rPr>
            <a:t>▼PL</a:t>
          </a:r>
          <a:r>
            <a:rPr lang="ja-JP" sz="1200" b="0" strike="noStrike" spc="-1">
              <a:latin typeface="游明朝"/>
            </a:rPr>
            <a:t>レビュー時</a:t>
          </a:r>
          <a:br/>
          <a:r>
            <a:rPr lang="ja-JP" sz="1200" b="0" strike="noStrike" spc="-1">
              <a:latin typeface="游明朝"/>
            </a:rPr>
            <a:t>・</a:t>
          </a:r>
          <a:r>
            <a:rPr lang="en-US" sz="1200" b="0" strike="noStrike" spc="-1">
              <a:latin typeface="游明朝"/>
            </a:rPr>
            <a:t>PL</a:t>
          </a:r>
          <a:r>
            <a:rPr lang="ja-JP" sz="1200" b="0" strike="noStrike" spc="-1">
              <a:latin typeface="游明朝"/>
            </a:rPr>
            <a:t>がレビュー時に指摘箇所、指摘事項欄を記載 </a:t>
          </a:r>
          <a:endParaRPr lang="en-US" sz="1200" b="0" strike="noStrike" spc="-1">
            <a:latin typeface="游明朝"/>
          </a:endParaRPr>
        </a:p>
        <a:p>
          <a:pPr>
            <a:lnSpc>
              <a:spcPct val="100000"/>
            </a:lnSpc>
          </a:pPr>
          <a:r>
            <a:rPr lang="en-US" sz="1200" b="0" strike="noStrike" spc="-1">
              <a:latin typeface="游明朝"/>
            </a:rPr>
            <a:t> </a:t>
          </a:r>
        </a:p>
        <a:p>
          <a:pPr>
            <a:lnSpc>
              <a:spcPct val="100000"/>
            </a:lnSpc>
          </a:pPr>
          <a:r>
            <a:rPr lang="en-US" sz="1200" b="0" strike="noStrike" spc="-1">
              <a:latin typeface="游明朝"/>
            </a:rPr>
            <a:t>▼</a:t>
          </a:r>
          <a:r>
            <a:rPr lang="ja-JP" sz="1200" b="0" strike="noStrike" spc="-1">
              <a:latin typeface="游明朝"/>
            </a:rPr>
            <a:t>再レビュー依頼時</a:t>
          </a:r>
          <a:endParaRPr lang="en-US" sz="1200" b="0" strike="noStrike" spc="-1">
            <a:latin typeface="游明朝"/>
          </a:endParaRPr>
        </a:p>
        <a:p>
          <a:pPr>
            <a:lnSpc>
              <a:spcPct val="100000"/>
            </a:lnSpc>
          </a:pPr>
          <a:r>
            <a:rPr lang="ja-JP" sz="1200" b="0" strike="noStrike" spc="-1">
              <a:latin typeface="游明朝"/>
            </a:rPr>
            <a:t>記入箇所：更新者、更新日、指摘された原因、</a:t>
          </a:r>
          <a:endParaRPr lang="en-US" sz="1200" b="0" strike="noStrike" spc="-1">
            <a:latin typeface="游明朝"/>
          </a:endParaRPr>
        </a:p>
        <a:p>
          <a:pPr>
            <a:lnSpc>
              <a:spcPct val="100000"/>
            </a:lnSpc>
          </a:pPr>
          <a:r>
            <a:rPr lang="ja-JP" sz="1200" b="0" strike="noStrike" spc="-1">
              <a:latin typeface="游明朝"/>
            </a:rPr>
            <a:t>　　　　　対応内容、対応状況</a:t>
          </a:r>
          <a:endParaRPr lang="en-US" sz="1200" b="0" strike="noStrike" spc="-1">
            <a:latin typeface="游明朝"/>
          </a:endParaRPr>
        </a:p>
        <a:p>
          <a:pPr>
            <a:lnSpc>
              <a:spcPct val="100000"/>
            </a:lnSpc>
          </a:pPr>
          <a:r>
            <a:rPr lang="ja-JP" sz="1200" b="0" strike="noStrike" spc="-1">
              <a:latin typeface="游明朝"/>
            </a:rPr>
            <a:t>　　　　　を記載すること。</a:t>
          </a:r>
          <a:endParaRPr lang="en-US" sz="1200" b="0" strike="noStrike" spc="-1">
            <a:latin typeface="游明朝"/>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C35"/>
  <sheetViews>
    <sheetView showGridLines="0" view="pageBreakPreview" topLeftCell="A19" zoomScaleNormal="100" workbookViewId="0">
      <selection activeCell="AJ34" sqref="AJ34:AM34"/>
    </sheetView>
  </sheetViews>
  <sheetFormatPr defaultColWidth="2.625" defaultRowHeight="13.5" x14ac:dyDescent="0.15"/>
  <sheetData>
    <row r="1" spans="1:55" ht="13.5" customHeight="1" x14ac:dyDescent="0.15"/>
    <row r="2" spans="1:55" ht="13.5" customHeight="1" x14ac:dyDescent="0.15">
      <c r="A2" s="13" t="s">
        <v>0</v>
      </c>
      <c r="B2" s="13"/>
      <c r="C2" s="13"/>
      <c r="D2" s="13"/>
      <c r="E2" s="13"/>
      <c r="F2" s="13"/>
      <c r="G2" s="13"/>
      <c r="H2" s="13"/>
      <c r="I2" s="13"/>
      <c r="J2" s="14" t="s">
        <v>1</v>
      </c>
      <c r="K2" s="14"/>
      <c r="L2" s="14"/>
      <c r="M2" s="14"/>
      <c r="N2" s="14"/>
      <c r="O2" s="14"/>
      <c r="P2" s="14"/>
      <c r="Q2" s="14"/>
      <c r="R2" s="15" t="s">
        <v>2</v>
      </c>
      <c r="S2" s="15"/>
      <c r="T2" s="15"/>
      <c r="U2" s="15"/>
      <c r="V2" s="15"/>
      <c r="W2" s="15"/>
      <c r="X2" s="15"/>
      <c r="Y2" s="15"/>
      <c r="Z2" s="15"/>
      <c r="AA2" s="15"/>
      <c r="AB2" s="15"/>
      <c r="AC2" s="15"/>
      <c r="AD2" s="15"/>
      <c r="AE2" s="15"/>
      <c r="AF2" s="15"/>
      <c r="AG2" s="15"/>
      <c r="AH2" s="15"/>
      <c r="AI2" s="15"/>
      <c r="AJ2" s="16" t="s">
        <v>3</v>
      </c>
      <c r="AK2" s="16"/>
      <c r="AL2" s="16"/>
      <c r="AM2" s="16"/>
      <c r="AN2" s="16"/>
      <c r="AO2" s="17" t="s">
        <v>4</v>
      </c>
      <c r="AP2" s="17"/>
      <c r="AQ2" s="17"/>
      <c r="AR2" s="17"/>
      <c r="AS2" s="17"/>
      <c r="AT2" s="17" t="s">
        <v>5</v>
      </c>
      <c r="AU2" s="17"/>
      <c r="AV2" s="17"/>
      <c r="AW2" s="17"/>
      <c r="AX2" s="17"/>
      <c r="AY2" s="18" t="s">
        <v>6</v>
      </c>
      <c r="AZ2" s="18"/>
      <c r="BA2" s="18"/>
      <c r="BB2" s="18"/>
      <c r="BC2" s="18"/>
    </row>
    <row r="3" spans="1:55" ht="13.5" customHeight="1" x14ac:dyDescent="0.15">
      <c r="A3" s="19" t="s">
        <v>7</v>
      </c>
      <c r="B3" s="19"/>
      <c r="C3" s="19"/>
      <c r="D3" s="19"/>
      <c r="E3" s="19"/>
      <c r="F3" s="19"/>
      <c r="G3" s="19"/>
      <c r="H3" s="19"/>
      <c r="I3" s="19"/>
      <c r="J3" s="20" t="s">
        <v>8</v>
      </c>
      <c r="K3" s="20"/>
      <c r="L3" s="20"/>
      <c r="M3" s="20"/>
      <c r="N3" s="20"/>
      <c r="O3" s="20"/>
      <c r="P3" s="20"/>
      <c r="Q3" s="20"/>
      <c r="R3" s="21" t="str">
        <f>" "&amp;S6</f>
        <v xml:space="preserve"> Task.25,未入力勤怠確認画面の新作成</v>
      </c>
      <c r="S3" s="21"/>
      <c r="T3" s="21"/>
      <c r="U3" s="21"/>
      <c r="V3" s="21"/>
      <c r="W3" s="21"/>
      <c r="X3" s="21"/>
      <c r="Y3" s="21"/>
      <c r="Z3" s="21"/>
      <c r="AA3" s="21"/>
      <c r="AB3" s="21"/>
      <c r="AC3" s="21"/>
      <c r="AD3" s="21"/>
      <c r="AE3" s="21"/>
      <c r="AF3" s="21"/>
      <c r="AG3" s="21"/>
      <c r="AH3" s="21"/>
      <c r="AI3" s="21"/>
      <c r="AJ3" s="22" t="s">
        <v>57</v>
      </c>
      <c r="AK3" s="22"/>
      <c r="AL3" s="22"/>
      <c r="AM3" s="22"/>
      <c r="AN3" s="22"/>
      <c r="AO3" s="23">
        <v>45922</v>
      </c>
      <c r="AP3" s="23"/>
      <c r="AQ3" s="23"/>
      <c r="AR3" s="23"/>
      <c r="AS3" s="23"/>
      <c r="AT3" s="24"/>
      <c r="AU3" s="24"/>
      <c r="AV3" s="24"/>
      <c r="AW3" s="24"/>
      <c r="AX3" s="24"/>
      <c r="AY3" s="25"/>
      <c r="AZ3" s="25"/>
      <c r="BA3" s="25"/>
      <c r="BB3" s="25"/>
      <c r="BC3" s="25"/>
    </row>
    <row r="4" spans="1:55" ht="13.5" customHeight="1" x14ac:dyDescent="0.15">
      <c r="A4" s="19"/>
      <c r="B4" s="19"/>
      <c r="C4" s="19"/>
      <c r="D4" s="19"/>
      <c r="E4" s="19"/>
      <c r="F4" s="19"/>
      <c r="G4" s="19"/>
      <c r="H4" s="19"/>
      <c r="I4" s="19"/>
      <c r="J4" s="20"/>
      <c r="K4" s="20"/>
      <c r="L4" s="20"/>
      <c r="M4" s="20"/>
      <c r="N4" s="20"/>
      <c r="O4" s="20"/>
      <c r="P4" s="20"/>
      <c r="Q4" s="20"/>
      <c r="R4" s="21"/>
      <c r="S4" s="21"/>
      <c r="T4" s="21"/>
      <c r="U4" s="21"/>
      <c r="V4" s="21"/>
      <c r="W4" s="21"/>
      <c r="X4" s="21"/>
      <c r="Y4" s="21"/>
      <c r="Z4" s="21"/>
      <c r="AA4" s="21"/>
      <c r="AB4" s="21"/>
      <c r="AC4" s="21"/>
      <c r="AD4" s="21"/>
      <c r="AE4" s="21"/>
      <c r="AF4" s="21"/>
      <c r="AG4" s="21"/>
      <c r="AH4" s="21"/>
      <c r="AI4" s="21"/>
      <c r="AJ4" s="22"/>
      <c r="AK4" s="22"/>
      <c r="AL4" s="22"/>
      <c r="AM4" s="22"/>
      <c r="AN4" s="22"/>
      <c r="AO4" s="23"/>
      <c r="AP4" s="23"/>
      <c r="AQ4" s="23"/>
      <c r="AR4" s="23"/>
      <c r="AS4" s="23"/>
      <c r="AT4" s="24"/>
      <c r="AU4" s="24"/>
      <c r="AV4" s="24"/>
      <c r="AW4" s="24"/>
      <c r="AX4" s="24"/>
      <c r="AY4" s="25"/>
      <c r="AZ4" s="25"/>
      <c r="BA4" s="25"/>
      <c r="BB4" s="25"/>
      <c r="BC4" s="25"/>
    </row>
    <row r="6" spans="1:55" ht="13.5" customHeight="1" x14ac:dyDescent="0.15">
      <c r="A6" s="6" t="s">
        <v>9</v>
      </c>
      <c r="B6" s="6"/>
      <c r="C6" s="6"/>
      <c r="D6" s="6"/>
      <c r="E6" s="8" t="s">
        <v>58</v>
      </c>
      <c r="F6" s="9"/>
      <c r="G6" s="9"/>
      <c r="H6" s="9"/>
      <c r="I6" s="9"/>
      <c r="J6" s="9"/>
      <c r="K6" s="9"/>
      <c r="L6" s="9"/>
      <c r="M6" s="9"/>
      <c r="N6" s="9"/>
      <c r="O6" s="6" t="s">
        <v>10</v>
      </c>
      <c r="P6" s="6"/>
      <c r="Q6" s="6"/>
      <c r="R6" s="6"/>
      <c r="S6" s="9" t="s">
        <v>56</v>
      </c>
      <c r="T6" s="9"/>
      <c r="U6" s="9"/>
      <c r="V6" s="9"/>
      <c r="W6" s="9"/>
      <c r="X6" s="9"/>
      <c r="Y6" s="9"/>
      <c r="Z6" s="9"/>
      <c r="AA6" s="9"/>
      <c r="AB6" s="9"/>
      <c r="AC6" s="6" t="s">
        <v>11</v>
      </c>
      <c r="AD6" s="6"/>
      <c r="AE6" s="6"/>
      <c r="AF6" s="6"/>
      <c r="AG6" s="6"/>
      <c r="AH6" s="6"/>
      <c r="AI6" s="10"/>
      <c r="AJ6" s="10"/>
      <c r="AK6" s="10"/>
      <c r="AL6" s="10"/>
      <c r="AM6" s="10"/>
      <c r="AN6" s="6" t="s">
        <v>12</v>
      </c>
      <c r="AO6" s="6"/>
      <c r="AP6" s="6"/>
      <c r="AQ6" s="6"/>
      <c r="AR6" s="6"/>
      <c r="AS6" s="6"/>
      <c r="AT6" s="11"/>
      <c r="AU6" s="11"/>
      <c r="AV6" s="11"/>
      <c r="AW6" s="11"/>
      <c r="AX6" s="11"/>
    </row>
    <row r="7" spans="1:55" ht="13.5" customHeight="1" x14ac:dyDescent="0.15">
      <c r="A7" s="6"/>
      <c r="B7" s="6"/>
      <c r="C7" s="6"/>
      <c r="D7" s="6"/>
      <c r="E7" s="9"/>
      <c r="F7" s="9"/>
      <c r="G7" s="9"/>
      <c r="H7" s="9"/>
      <c r="I7" s="9"/>
      <c r="J7" s="9"/>
      <c r="K7" s="9"/>
      <c r="L7" s="9"/>
      <c r="M7" s="9"/>
      <c r="N7" s="9"/>
      <c r="O7" s="6"/>
      <c r="P7" s="6"/>
      <c r="Q7" s="6"/>
      <c r="R7" s="6"/>
      <c r="S7" s="9"/>
      <c r="T7" s="9"/>
      <c r="U7" s="9"/>
      <c r="V7" s="9"/>
      <c r="W7" s="9"/>
      <c r="X7" s="9"/>
      <c r="Y7" s="9"/>
      <c r="Z7" s="9"/>
      <c r="AA7" s="9"/>
      <c r="AB7" s="9"/>
      <c r="AC7" s="6" t="s">
        <v>13</v>
      </c>
      <c r="AD7" s="6"/>
      <c r="AE7" s="6"/>
      <c r="AF7" s="6"/>
      <c r="AG7" s="6"/>
      <c r="AH7" s="6"/>
      <c r="AI7" s="12"/>
      <c r="AJ7" s="12"/>
      <c r="AK7" s="12"/>
      <c r="AL7" s="12"/>
      <c r="AM7" s="12"/>
      <c r="AN7" s="6" t="s">
        <v>14</v>
      </c>
      <c r="AO7" s="6"/>
      <c r="AP7" s="6"/>
      <c r="AQ7" s="6"/>
      <c r="AR7" s="6"/>
      <c r="AS7" s="6"/>
      <c r="AT7" s="12"/>
      <c r="AU7" s="12"/>
      <c r="AV7" s="12"/>
      <c r="AW7" s="12"/>
      <c r="AX7" s="12"/>
    </row>
    <row r="8" spans="1:55" ht="13.5" customHeight="1" x14ac:dyDescent="0.15">
      <c r="A8" s="6"/>
      <c r="B8" s="6"/>
      <c r="C8" s="6"/>
      <c r="D8" s="6"/>
      <c r="E8" s="9"/>
      <c r="F8" s="9"/>
      <c r="G8" s="9"/>
      <c r="H8" s="9"/>
      <c r="I8" s="9"/>
      <c r="J8" s="9"/>
      <c r="K8" s="9"/>
      <c r="L8" s="9"/>
      <c r="M8" s="9"/>
      <c r="N8" s="9"/>
      <c r="O8" s="6"/>
      <c r="P8" s="6"/>
      <c r="Q8" s="6"/>
      <c r="R8" s="6"/>
      <c r="S8" s="9"/>
      <c r="T8" s="9"/>
      <c r="U8" s="9"/>
      <c r="V8" s="9"/>
      <c r="W8" s="9"/>
      <c r="X8" s="9"/>
      <c r="Y8" s="9"/>
      <c r="Z8" s="9"/>
      <c r="AA8" s="9"/>
      <c r="AB8" s="9"/>
      <c r="AC8" s="6" t="s">
        <v>15</v>
      </c>
      <c r="AD8" s="6"/>
      <c r="AE8" s="6"/>
      <c r="AF8" s="6"/>
      <c r="AG8" s="6"/>
      <c r="AH8" s="6"/>
      <c r="AI8" s="3"/>
      <c r="AJ8" s="3"/>
      <c r="AK8" s="3"/>
      <c r="AL8" s="3"/>
      <c r="AM8" s="3"/>
      <c r="AN8" s="6" t="s">
        <v>15</v>
      </c>
      <c r="AO8" s="6"/>
      <c r="AP8" s="6"/>
      <c r="AQ8" s="6"/>
      <c r="AR8" s="6"/>
      <c r="AS8" s="6"/>
      <c r="AT8" s="3"/>
      <c r="AU8" s="3"/>
      <c r="AV8" s="3"/>
      <c r="AW8" s="3"/>
      <c r="AX8" s="3"/>
    </row>
    <row r="10" spans="1:55" x14ac:dyDescent="0.15">
      <c r="A10" s="4" t="s">
        <v>16</v>
      </c>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c r="AJ10" s="4"/>
      <c r="AK10" s="4"/>
      <c r="AL10" s="4"/>
      <c r="AM10" s="4"/>
      <c r="AN10" s="4"/>
      <c r="AO10" s="4"/>
      <c r="AP10" s="4"/>
      <c r="AQ10" s="4"/>
      <c r="AR10" s="4"/>
      <c r="AS10" s="4"/>
      <c r="AT10" s="4"/>
      <c r="AU10" s="4"/>
      <c r="AV10" s="4"/>
      <c r="AW10" s="4"/>
      <c r="AX10" s="4"/>
      <c r="AY10" s="4"/>
      <c r="AZ10" s="4"/>
      <c r="BA10" s="4"/>
      <c r="BB10" s="4"/>
      <c r="BC10" s="4"/>
    </row>
    <row r="11" spans="1:55" x14ac:dyDescent="0.15">
      <c r="A11" s="6" t="s">
        <v>17</v>
      </c>
      <c r="B11" s="6"/>
      <c r="C11" s="6" t="s">
        <v>18</v>
      </c>
      <c r="D11" s="6"/>
      <c r="E11" s="6"/>
      <c r="F11" s="6"/>
      <c r="G11" s="6"/>
      <c r="H11" s="6"/>
      <c r="I11" s="6"/>
      <c r="J11" s="6"/>
      <c r="K11" s="6"/>
      <c r="L11" s="6"/>
      <c r="M11" s="6"/>
      <c r="N11" s="6"/>
      <c r="O11" s="6"/>
      <c r="P11" s="6"/>
      <c r="Q11" s="6"/>
      <c r="R11" s="6"/>
      <c r="S11" s="6"/>
      <c r="T11" s="6"/>
      <c r="U11" s="6"/>
      <c r="V11" s="6"/>
      <c r="W11" s="6"/>
      <c r="X11" s="6"/>
      <c r="Y11" s="6"/>
      <c r="Z11" s="6"/>
      <c r="AA11" s="6"/>
      <c r="AB11" s="6"/>
      <c r="AC11" s="6"/>
      <c r="AD11" s="6"/>
      <c r="AE11" s="6"/>
      <c r="AF11" s="6"/>
      <c r="AG11" s="6"/>
      <c r="AH11" s="6"/>
      <c r="AI11" s="6"/>
      <c r="AJ11" s="6" t="s">
        <v>19</v>
      </c>
      <c r="AK11" s="6"/>
      <c r="AL11" s="6"/>
      <c r="AM11" s="6"/>
      <c r="AN11" s="6" t="s">
        <v>20</v>
      </c>
      <c r="AO11" s="6"/>
      <c r="AP11" s="6"/>
      <c r="AQ11" s="6"/>
      <c r="AR11" s="6"/>
      <c r="AS11" s="6"/>
      <c r="AT11" s="6"/>
      <c r="AU11" s="6"/>
      <c r="AV11" s="6"/>
      <c r="AW11" s="6"/>
      <c r="AX11" s="6"/>
      <c r="AY11" s="6"/>
      <c r="AZ11" s="6"/>
      <c r="BA11" s="6"/>
      <c r="BB11" s="6"/>
      <c r="BC11" s="6"/>
    </row>
    <row r="12" spans="1:55" ht="12.75" customHeight="1" x14ac:dyDescent="0.15">
      <c r="A12" s="1">
        <f t="shared" ref="A12:A25" si="0">ROW()-11</f>
        <v>1</v>
      </c>
      <c r="B12" s="1"/>
      <c r="C12" s="7" t="s">
        <v>21</v>
      </c>
      <c r="D12" s="7"/>
      <c r="E12" s="7"/>
      <c r="F12" s="7"/>
      <c r="G12" s="7"/>
      <c r="H12" s="7"/>
      <c r="I12" s="7"/>
      <c r="J12" s="7"/>
      <c r="K12" s="7"/>
      <c r="L12" s="7"/>
      <c r="M12" s="7"/>
      <c r="N12" s="7"/>
      <c r="O12" s="7"/>
      <c r="P12" s="7"/>
      <c r="Q12" s="7"/>
      <c r="R12" s="7"/>
      <c r="S12" s="7"/>
      <c r="T12" s="7"/>
      <c r="U12" s="7"/>
      <c r="V12" s="7"/>
      <c r="W12" s="7"/>
      <c r="X12" s="7"/>
      <c r="Y12" s="7"/>
      <c r="Z12" s="7"/>
      <c r="AA12" s="7"/>
      <c r="AB12" s="7"/>
      <c r="AC12" s="7"/>
      <c r="AD12" s="7"/>
      <c r="AE12" s="7"/>
      <c r="AF12" s="7"/>
      <c r="AG12" s="7"/>
      <c r="AH12" s="7"/>
      <c r="AI12" s="7"/>
      <c r="AJ12" s="3" t="s">
        <v>54</v>
      </c>
      <c r="AK12" s="3"/>
      <c r="AL12" s="3"/>
      <c r="AM12" s="3"/>
      <c r="AN12" s="2"/>
      <c r="AO12" s="2"/>
      <c r="AP12" s="2"/>
      <c r="AQ12" s="2"/>
      <c r="AR12" s="2"/>
      <c r="AS12" s="2"/>
      <c r="AT12" s="2"/>
      <c r="AU12" s="2"/>
      <c r="AV12" s="2"/>
      <c r="AW12" s="2"/>
      <c r="AX12" s="2"/>
      <c r="AY12" s="2"/>
      <c r="AZ12" s="2"/>
      <c r="BA12" s="2"/>
      <c r="BB12" s="2"/>
      <c r="BC12" s="2"/>
    </row>
    <row r="13" spans="1:55" ht="12.75" customHeight="1" x14ac:dyDescent="0.15">
      <c r="A13" s="1">
        <f t="shared" si="0"/>
        <v>2</v>
      </c>
      <c r="B13" s="1"/>
      <c r="C13" s="2" t="s">
        <v>22</v>
      </c>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3" t="s">
        <v>54</v>
      </c>
      <c r="AK13" s="3"/>
      <c r="AL13" s="3"/>
      <c r="AM13" s="3"/>
      <c r="AN13" s="2"/>
      <c r="AO13" s="2"/>
      <c r="AP13" s="2"/>
      <c r="AQ13" s="2"/>
      <c r="AR13" s="2"/>
      <c r="AS13" s="2"/>
      <c r="AT13" s="2"/>
      <c r="AU13" s="2"/>
      <c r="AV13" s="2"/>
      <c r="AW13" s="2"/>
      <c r="AX13" s="2"/>
      <c r="AY13" s="2"/>
      <c r="AZ13" s="2"/>
      <c r="BA13" s="2"/>
      <c r="BB13" s="2"/>
      <c r="BC13" s="2"/>
    </row>
    <row r="14" spans="1:55" ht="94.5" customHeight="1" x14ac:dyDescent="0.15">
      <c r="A14" s="1">
        <f t="shared" si="0"/>
        <v>3</v>
      </c>
      <c r="B14" s="1"/>
      <c r="C14" s="5" t="s">
        <v>49</v>
      </c>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3" t="s">
        <v>54</v>
      </c>
      <c r="AK14" s="3"/>
      <c r="AL14" s="3"/>
      <c r="AM14" s="3"/>
      <c r="AN14" s="2"/>
      <c r="AO14" s="2"/>
      <c r="AP14" s="2"/>
      <c r="AQ14" s="2"/>
      <c r="AR14" s="2"/>
      <c r="AS14" s="2"/>
      <c r="AT14" s="2"/>
      <c r="AU14" s="2"/>
      <c r="AV14" s="2"/>
      <c r="AW14" s="2"/>
      <c r="AX14" s="2"/>
      <c r="AY14" s="2"/>
      <c r="AZ14" s="2"/>
      <c r="BA14" s="2"/>
      <c r="BB14" s="2"/>
      <c r="BC14" s="2"/>
    </row>
    <row r="15" spans="1:55" ht="12.75" customHeight="1" x14ac:dyDescent="0.15">
      <c r="A15" s="1">
        <f t="shared" si="0"/>
        <v>4</v>
      </c>
      <c r="B15" s="1"/>
      <c r="C15" s="2" t="s">
        <v>23</v>
      </c>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3" t="s">
        <v>54</v>
      </c>
      <c r="AK15" s="3"/>
      <c r="AL15" s="3"/>
      <c r="AM15" s="3"/>
      <c r="AN15" s="2"/>
      <c r="AO15" s="2"/>
      <c r="AP15" s="2"/>
      <c r="AQ15" s="2"/>
      <c r="AR15" s="2"/>
      <c r="AS15" s="2"/>
      <c r="AT15" s="2"/>
      <c r="AU15" s="2"/>
      <c r="AV15" s="2"/>
      <c r="AW15" s="2"/>
      <c r="AX15" s="2"/>
      <c r="AY15" s="2"/>
      <c r="AZ15" s="2"/>
      <c r="BA15" s="2"/>
      <c r="BB15" s="2"/>
      <c r="BC15" s="2"/>
    </row>
    <row r="16" spans="1:55" ht="42" customHeight="1" x14ac:dyDescent="0.15">
      <c r="A16" s="1">
        <f t="shared" si="0"/>
        <v>5</v>
      </c>
      <c r="B16" s="1"/>
      <c r="C16" s="2" t="s">
        <v>50</v>
      </c>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c r="AJ16" s="3" t="s">
        <v>54</v>
      </c>
      <c r="AK16" s="3"/>
      <c r="AL16" s="3"/>
      <c r="AM16" s="3"/>
      <c r="AN16" s="2"/>
      <c r="AO16" s="2"/>
      <c r="AP16" s="2"/>
      <c r="AQ16" s="2"/>
      <c r="AR16" s="2"/>
      <c r="AS16" s="2"/>
      <c r="AT16" s="2"/>
      <c r="AU16" s="2"/>
      <c r="AV16" s="2"/>
      <c r="AW16" s="2"/>
      <c r="AX16" s="2"/>
      <c r="AY16" s="2"/>
      <c r="AZ16" s="2"/>
      <c r="BA16" s="2"/>
      <c r="BB16" s="2"/>
      <c r="BC16" s="2"/>
    </row>
    <row r="17" spans="1:55" ht="12.75" customHeight="1" x14ac:dyDescent="0.15">
      <c r="A17" s="1">
        <f t="shared" si="0"/>
        <v>6</v>
      </c>
      <c r="B17" s="1"/>
      <c r="C17" s="2" t="s">
        <v>24</v>
      </c>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c r="AJ17" s="3" t="s">
        <v>55</v>
      </c>
      <c r="AK17" s="3"/>
      <c r="AL17" s="3"/>
      <c r="AM17" s="3"/>
      <c r="AN17" s="2"/>
      <c r="AO17" s="2"/>
      <c r="AP17" s="2"/>
      <c r="AQ17" s="2"/>
      <c r="AR17" s="2"/>
      <c r="AS17" s="2"/>
      <c r="AT17" s="2"/>
      <c r="AU17" s="2"/>
      <c r="AV17" s="2"/>
      <c r="AW17" s="2"/>
      <c r="AX17" s="2"/>
      <c r="AY17" s="2"/>
      <c r="AZ17" s="2"/>
      <c r="BA17" s="2"/>
      <c r="BB17" s="2"/>
      <c r="BC17" s="2"/>
    </row>
    <row r="18" spans="1:55" ht="26.25" customHeight="1" x14ac:dyDescent="0.15">
      <c r="A18" s="1">
        <f t="shared" si="0"/>
        <v>7</v>
      </c>
      <c r="B18" s="1"/>
      <c r="C18" s="2" t="s">
        <v>25</v>
      </c>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3" t="s">
        <v>54</v>
      </c>
      <c r="AK18" s="3"/>
      <c r="AL18" s="3"/>
      <c r="AM18" s="3"/>
      <c r="AN18" s="2"/>
      <c r="AO18" s="2"/>
      <c r="AP18" s="2"/>
      <c r="AQ18" s="2"/>
      <c r="AR18" s="2"/>
      <c r="AS18" s="2"/>
      <c r="AT18" s="2"/>
      <c r="AU18" s="2"/>
      <c r="AV18" s="2"/>
      <c r="AW18" s="2"/>
      <c r="AX18" s="2"/>
      <c r="AY18" s="2"/>
      <c r="AZ18" s="2"/>
      <c r="BA18" s="2"/>
      <c r="BB18" s="2"/>
      <c r="BC18" s="2"/>
    </row>
    <row r="19" spans="1:55" ht="23.25" customHeight="1" x14ac:dyDescent="0.15">
      <c r="A19" s="1">
        <f t="shared" si="0"/>
        <v>8</v>
      </c>
      <c r="B19" s="1"/>
      <c r="C19" s="2" t="s">
        <v>26</v>
      </c>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3" t="s">
        <v>54</v>
      </c>
      <c r="AK19" s="3"/>
      <c r="AL19" s="3"/>
      <c r="AM19" s="3"/>
      <c r="AN19" s="2"/>
      <c r="AO19" s="2"/>
      <c r="AP19" s="2"/>
      <c r="AQ19" s="2"/>
      <c r="AR19" s="2"/>
      <c r="AS19" s="2"/>
      <c r="AT19" s="2"/>
      <c r="AU19" s="2"/>
      <c r="AV19" s="2"/>
      <c r="AW19" s="2"/>
      <c r="AX19" s="2"/>
      <c r="AY19" s="2"/>
      <c r="AZ19" s="2"/>
      <c r="BA19" s="2"/>
      <c r="BB19" s="2"/>
      <c r="BC19" s="2"/>
    </row>
    <row r="20" spans="1:55" ht="12.75" customHeight="1" x14ac:dyDescent="0.15">
      <c r="A20" s="1">
        <f t="shared" si="0"/>
        <v>9</v>
      </c>
      <c r="B20" s="1"/>
      <c r="C20" s="2" t="s">
        <v>27</v>
      </c>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3" t="s">
        <v>54</v>
      </c>
      <c r="AK20" s="3"/>
      <c r="AL20" s="3"/>
      <c r="AM20" s="3"/>
      <c r="AN20" s="2"/>
      <c r="AO20" s="2"/>
      <c r="AP20" s="2"/>
      <c r="AQ20" s="2"/>
      <c r="AR20" s="2"/>
      <c r="AS20" s="2"/>
      <c r="AT20" s="2"/>
      <c r="AU20" s="2"/>
      <c r="AV20" s="2"/>
      <c r="AW20" s="2"/>
      <c r="AX20" s="2"/>
      <c r="AY20" s="2"/>
      <c r="AZ20" s="2"/>
      <c r="BA20" s="2"/>
      <c r="BB20" s="2"/>
      <c r="BC20" s="2"/>
    </row>
    <row r="21" spans="1:55" ht="12.75" customHeight="1" x14ac:dyDescent="0.15">
      <c r="A21" s="1">
        <f t="shared" si="0"/>
        <v>10</v>
      </c>
      <c r="B21" s="1"/>
      <c r="C21" s="2" t="s">
        <v>28</v>
      </c>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3" t="s">
        <v>55</v>
      </c>
      <c r="AK21" s="3"/>
      <c r="AL21" s="3"/>
      <c r="AM21" s="3"/>
      <c r="AN21" s="2"/>
      <c r="AO21" s="2"/>
      <c r="AP21" s="2"/>
      <c r="AQ21" s="2"/>
      <c r="AR21" s="2"/>
      <c r="AS21" s="2"/>
      <c r="AT21" s="2"/>
      <c r="AU21" s="2"/>
      <c r="AV21" s="2"/>
      <c r="AW21" s="2"/>
      <c r="AX21" s="2"/>
      <c r="AY21" s="2"/>
      <c r="AZ21" s="2"/>
      <c r="BA21" s="2"/>
      <c r="BB21" s="2"/>
      <c r="BC21" s="2"/>
    </row>
    <row r="22" spans="1:55" ht="12.75" customHeight="1" x14ac:dyDescent="0.15">
      <c r="A22" s="1">
        <f t="shared" si="0"/>
        <v>11</v>
      </c>
      <c r="B22" s="1"/>
      <c r="C22" s="2" t="s">
        <v>29</v>
      </c>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3" t="s">
        <v>54</v>
      </c>
      <c r="AK22" s="3"/>
      <c r="AL22" s="3"/>
      <c r="AM22" s="3"/>
      <c r="AN22" s="2"/>
      <c r="AO22" s="2"/>
      <c r="AP22" s="2"/>
      <c r="AQ22" s="2"/>
      <c r="AR22" s="2"/>
      <c r="AS22" s="2"/>
      <c r="AT22" s="2"/>
      <c r="AU22" s="2"/>
      <c r="AV22" s="2"/>
      <c r="AW22" s="2"/>
      <c r="AX22" s="2"/>
      <c r="AY22" s="2"/>
      <c r="AZ22" s="2"/>
      <c r="BA22" s="2"/>
      <c r="BB22" s="2"/>
      <c r="BC22" s="2"/>
    </row>
    <row r="23" spans="1:55" ht="12.75" customHeight="1" x14ac:dyDescent="0.15">
      <c r="A23" s="1">
        <f t="shared" si="0"/>
        <v>12</v>
      </c>
      <c r="B23" s="1"/>
      <c r="C23" s="2" t="s">
        <v>30</v>
      </c>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3" t="s">
        <v>54</v>
      </c>
      <c r="AK23" s="3"/>
      <c r="AL23" s="3"/>
      <c r="AM23" s="3"/>
      <c r="AN23" s="2"/>
      <c r="AO23" s="2"/>
      <c r="AP23" s="2"/>
      <c r="AQ23" s="2"/>
      <c r="AR23" s="2"/>
      <c r="AS23" s="2"/>
      <c r="AT23" s="2"/>
      <c r="AU23" s="2"/>
      <c r="AV23" s="2"/>
      <c r="AW23" s="2"/>
      <c r="AX23" s="2"/>
      <c r="AY23" s="2"/>
      <c r="AZ23" s="2"/>
      <c r="BA23" s="2"/>
      <c r="BB23" s="2"/>
      <c r="BC23" s="2"/>
    </row>
    <row r="24" spans="1:55" ht="51.75" customHeight="1" x14ac:dyDescent="0.15">
      <c r="A24" s="1">
        <f t="shared" si="0"/>
        <v>13</v>
      </c>
      <c r="B24" s="1"/>
      <c r="C24" s="2" t="s">
        <v>51</v>
      </c>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3" t="s">
        <v>54</v>
      </c>
      <c r="AK24" s="3"/>
      <c r="AL24" s="3"/>
      <c r="AM24" s="3"/>
      <c r="AN24" s="2"/>
      <c r="AO24" s="2"/>
      <c r="AP24" s="2"/>
      <c r="AQ24" s="2"/>
      <c r="AR24" s="2"/>
      <c r="AS24" s="2"/>
      <c r="AT24" s="2"/>
      <c r="AU24" s="2"/>
      <c r="AV24" s="2"/>
      <c r="AW24" s="2"/>
      <c r="AX24" s="2"/>
      <c r="AY24" s="2"/>
      <c r="AZ24" s="2"/>
      <c r="BA24" s="2"/>
      <c r="BB24" s="2"/>
      <c r="BC24" s="2"/>
    </row>
    <row r="25" spans="1:55" ht="12.75" customHeight="1" x14ac:dyDescent="0.15">
      <c r="A25" s="1">
        <f t="shared" si="0"/>
        <v>14</v>
      </c>
      <c r="B25" s="1"/>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3"/>
      <c r="AK25" s="3"/>
      <c r="AL25" s="3"/>
      <c r="AM25" s="3"/>
      <c r="AN25" s="2"/>
      <c r="AO25" s="2"/>
      <c r="AP25" s="2"/>
      <c r="AQ25" s="2"/>
      <c r="AR25" s="2"/>
      <c r="AS25" s="2"/>
      <c r="AT25" s="2"/>
      <c r="AU25" s="2"/>
      <c r="AV25" s="2"/>
      <c r="AW25" s="2"/>
      <c r="AX25" s="2"/>
      <c r="AY25" s="2"/>
      <c r="AZ25" s="2"/>
      <c r="BA25" s="2"/>
      <c r="BB25" s="2"/>
      <c r="BC25" s="2"/>
    </row>
    <row r="26" spans="1:55" x14ac:dyDescent="0.15">
      <c r="A26" s="4" t="s">
        <v>52</v>
      </c>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c r="AL26" s="4"/>
      <c r="AM26" s="4"/>
      <c r="AN26" s="4"/>
      <c r="AO26" s="4"/>
      <c r="AP26" s="4"/>
      <c r="AQ26" s="4"/>
      <c r="AR26" s="4"/>
      <c r="AS26" s="4"/>
      <c r="AT26" s="4"/>
      <c r="AU26" s="4"/>
      <c r="AV26" s="4"/>
      <c r="AW26" s="4"/>
      <c r="AX26" s="4"/>
      <c r="AY26" s="4"/>
      <c r="AZ26" s="4"/>
      <c r="BA26" s="4"/>
      <c r="BB26" s="4"/>
      <c r="BC26" s="4"/>
    </row>
    <row r="27" spans="1:55" ht="13.5" customHeight="1" x14ac:dyDescent="0.15">
      <c r="A27" s="1">
        <v>1</v>
      </c>
      <c r="B27" s="1"/>
      <c r="C27" s="2" t="s">
        <v>53</v>
      </c>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3" t="s">
        <v>59</v>
      </c>
      <c r="AK27" s="3"/>
      <c r="AL27" s="3"/>
      <c r="AM27" s="3"/>
      <c r="AN27" s="2"/>
      <c r="AO27" s="2"/>
      <c r="AP27" s="2"/>
      <c r="AQ27" s="2"/>
      <c r="AR27" s="2"/>
      <c r="AS27" s="2"/>
      <c r="AT27" s="2"/>
      <c r="AU27" s="2"/>
      <c r="AV27" s="2"/>
      <c r="AW27" s="2"/>
      <c r="AX27" s="2"/>
      <c r="AY27" s="2"/>
      <c r="AZ27" s="2"/>
      <c r="BA27" s="2"/>
      <c r="BB27" s="2"/>
      <c r="BC27" s="2"/>
    </row>
    <row r="28" spans="1:55" x14ac:dyDescent="0.15">
      <c r="A28" s="1">
        <f>A27+1</f>
        <v>2</v>
      </c>
      <c r="B28" s="1"/>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3"/>
      <c r="AK28" s="3"/>
      <c r="AL28" s="3"/>
      <c r="AM28" s="3"/>
      <c r="AN28" s="2"/>
      <c r="AO28" s="2"/>
      <c r="AP28" s="2"/>
      <c r="AQ28" s="2"/>
      <c r="AR28" s="2"/>
      <c r="AS28" s="2"/>
      <c r="AT28" s="2"/>
      <c r="AU28" s="2"/>
      <c r="AV28" s="2"/>
      <c r="AW28" s="2"/>
      <c r="AX28" s="2"/>
      <c r="AY28" s="2"/>
      <c r="AZ28" s="2"/>
      <c r="BA28" s="2"/>
      <c r="BB28" s="2"/>
      <c r="BC28" s="2"/>
    </row>
    <row r="29" spans="1:55" x14ac:dyDescent="0.15">
      <c r="A29" s="1">
        <f>A28+1</f>
        <v>3</v>
      </c>
      <c r="B29" s="1"/>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3"/>
      <c r="AK29" s="3"/>
      <c r="AL29" s="3"/>
      <c r="AM29" s="3"/>
      <c r="AN29" s="2"/>
      <c r="AO29" s="2"/>
      <c r="AP29" s="2"/>
      <c r="AQ29" s="2"/>
      <c r="AR29" s="2"/>
      <c r="AS29" s="2"/>
      <c r="AT29" s="2"/>
      <c r="AU29" s="2"/>
      <c r="AV29" s="2"/>
      <c r="AW29" s="2"/>
      <c r="AX29" s="2"/>
      <c r="AY29" s="2"/>
      <c r="AZ29" s="2"/>
      <c r="BA29" s="2"/>
      <c r="BB29" s="2"/>
      <c r="BC29" s="2"/>
    </row>
    <row r="30" spans="1:55" x14ac:dyDescent="0.15">
      <c r="A30" s="4" t="s">
        <v>31</v>
      </c>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c r="AQ30" s="4"/>
      <c r="AR30" s="4"/>
      <c r="AS30" s="4"/>
      <c r="AT30" s="4"/>
      <c r="AU30" s="4"/>
      <c r="AV30" s="4"/>
      <c r="AW30" s="4"/>
      <c r="AX30" s="4"/>
      <c r="AY30" s="4"/>
      <c r="AZ30" s="4"/>
      <c r="BA30" s="4"/>
      <c r="BB30" s="4"/>
      <c r="BC30" s="4"/>
    </row>
    <row r="31" spans="1:55" ht="39.75" customHeight="1" x14ac:dyDescent="0.15">
      <c r="A31" s="1">
        <v>1</v>
      </c>
      <c r="B31" s="1"/>
      <c r="C31" s="2" t="s">
        <v>32</v>
      </c>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c r="AJ31" s="3" t="s">
        <v>54</v>
      </c>
      <c r="AK31" s="3"/>
      <c r="AL31" s="3"/>
      <c r="AM31" s="3"/>
      <c r="AN31" s="2"/>
      <c r="AO31" s="2"/>
      <c r="AP31" s="2"/>
      <c r="AQ31" s="2"/>
      <c r="AR31" s="2"/>
      <c r="AS31" s="2"/>
      <c r="AT31" s="2"/>
      <c r="AU31" s="2"/>
      <c r="AV31" s="2"/>
      <c r="AW31" s="2"/>
      <c r="AX31" s="2"/>
      <c r="AY31" s="2"/>
      <c r="AZ31" s="2"/>
      <c r="BA31" s="2"/>
      <c r="BB31" s="2"/>
      <c r="BC31" s="2"/>
    </row>
    <row r="32" spans="1:55" ht="31.5" customHeight="1" x14ac:dyDescent="0.15">
      <c r="A32" s="1">
        <f>A31+1</f>
        <v>2</v>
      </c>
      <c r="B32" s="1"/>
      <c r="C32" s="2" t="s">
        <v>33</v>
      </c>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3" t="s">
        <v>54</v>
      </c>
      <c r="AK32" s="3"/>
      <c r="AL32" s="3"/>
      <c r="AM32" s="3"/>
      <c r="AN32" s="2"/>
      <c r="AO32" s="2"/>
      <c r="AP32" s="2"/>
      <c r="AQ32" s="2"/>
      <c r="AR32" s="2"/>
      <c r="AS32" s="2"/>
      <c r="AT32" s="2"/>
      <c r="AU32" s="2"/>
      <c r="AV32" s="2"/>
      <c r="AW32" s="2"/>
      <c r="AX32" s="2"/>
      <c r="AY32" s="2"/>
      <c r="AZ32" s="2"/>
      <c r="BA32" s="2"/>
      <c r="BB32" s="2"/>
      <c r="BC32" s="2"/>
    </row>
    <row r="33" spans="1:55" ht="13.5" customHeight="1" x14ac:dyDescent="0.15">
      <c r="A33" s="1">
        <v>2</v>
      </c>
      <c r="B33" s="1"/>
      <c r="C33" s="2" t="s">
        <v>34</v>
      </c>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3" t="s">
        <v>54</v>
      </c>
      <c r="AK33" s="3"/>
      <c r="AL33" s="3"/>
      <c r="AM33" s="3"/>
      <c r="AN33" s="2"/>
      <c r="AO33" s="2"/>
      <c r="AP33" s="2"/>
      <c r="AQ33" s="2"/>
      <c r="AR33" s="2"/>
      <c r="AS33" s="2"/>
      <c r="AT33" s="2"/>
      <c r="AU33" s="2"/>
      <c r="AV33" s="2"/>
      <c r="AW33" s="2"/>
      <c r="AX33" s="2"/>
      <c r="AY33" s="2"/>
      <c r="AZ33" s="2"/>
      <c r="BA33" s="2"/>
      <c r="BB33" s="2"/>
      <c r="BC33" s="2"/>
    </row>
    <row r="34" spans="1:55" ht="13.5" customHeight="1" x14ac:dyDescent="0.15">
      <c r="A34" s="1">
        <f>A32+1</f>
        <v>3</v>
      </c>
      <c r="B34" s="1"/>
      <c r="C34" s="2" t="s">
        <v>35</v>
      </c>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3" t="s">
        <v>54</v>
      </c>
      <c r="AK34" s="3"/>
      <c r="AL34" s="3"/>
      <c r="AM34" s="3"/>
      <c r="AN34" s="2"/>
      <c r="AO34" s="2"/>
      <c r="AP34" s="2"/>
      <c r="AQ34" s="2"/>
      <c r="AR34" s="2"/>
      <c r="AS34" s="2"/>
      <c r="AT34" s="2"/>
      <c r="AU34" s="2"/>
      <c r="AV34" s="2"/>
      <c r="AW34" s="2"/>
      <c r="AX34" s="2"/>
      <c r="AY34" s="2"/>
      <c r="AZ34" s="2"/>
      <c r="BA34" s="2"/>
      <c r="BB34" s="2"/>
      <c r="BC34" s="2"/>
    </row>
    <row r="35" spans="1:55" ht="12.75" customHeight="1" x14ac:dyDescent="0.15">
      <c r="A35" s="1">
        <f>A34+1</f>
        <v>4</v>
      </c>
      <c r="B35" s="1"/>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3"/>
      <c r="AK35" s="3"/>
      <c r="AL35" s="3"/>
      <c r="AM35" s="3"/>
      <c r="AN35" s="2"/>
      <c r="AO35" s="2"/>
      <c r="AP35" s="2"/>
      <c r="AQ35" s="2"/>
      <c r="AR35" s="2"/>
      <c r="AS35" s="2"/>
      <c r="AT35" s="2"/>
      <c r="AU35" s="2"/>
      <c r="AV35" s="2"/>
      <c r="AW35" s="2"/>
      <c r="AX35" s="2"/>
      <c r="AY35" s="2"/>
      <c r="AZ35" s="2"/>
      <c r="BA35" s="2"/>
      <c r="BB35" s="2"/>
      <c r="BC35" s="2"/>
    </row>
  </sheetData>
  <mergeCells count="125">
    <mergeCell ref="A2:I2"/>
    <mergeCell ref="J2:Q2"/>
    <mergeCell ref="R2:AI2"/>
    <mergeCell ref="AJ2:AN2"/>
    <mergeCell ref="AO2:AS2"/>
    <mergeCell ref="AT2:AX2"/>
    <mergeCell ref="AY2:BC2"/>
    <mergeCell ref="A3:I4"/>
    <mergeCell ref="J3:Q4"/>
    <mergeCell ref="R3:AI4"/>
    <mergeCell ref="AJ3:AN4"/>
    <mergeCell ref="AO3:AS4"/>
    <mergeCell ref="AT3:AX4"/>
    <mergeCell ref="AY3:BC4"/>
    <mergeCell ref="A6:D8"/>
    <mergeCell ref="E6:N8"/>
    <mergeCell ref="O6:R8"/>
    <mergeCell ref="S6:AB8"/>
    <mergeCell ref="AC6:AH6"/>
    <mergeCell ref="AI6:AM6"/>
    <mergeCell ref="AN6:AS6"/>
    <mergeCell ref="AT6:AX6"/>
    <mergeCell ref="AC7:AH7"/>
    <mergeCell ref="AI7:AM7"/>
    <mergeCell ref="AN7:AS7"/>
    <mergeCell ref="AT7:AX7"/>
    <mergeCell ref="AC8:AH8"/>
    <mergeCell ref="AI8:AM8"/>
    <mergeCell ref="AN8:AS8"/>
    <mergeCell ref="AT8:AX8"/>
    <mergeCell ref="A10:BC10"/>
    <mergeCell ref="A11:B11"/>
    <mergeCell ref="C11:AI11"/>
    <mergeCell ref="AJ11:AM11"/>
    <mergeCell ref="AN11:BC11"/>
    <mergeCell ref="A12:B12"/>
    <mergeCell ref="C12:AI12"/>
    <mergeCell ref="AJ12:AM12"/>
    <mergeCell ref="AN12:BC12"/>
    <mergeCell ref="A13:B13"/>
    <mergeCell ref="C13:AI13"/>
    <mergeCell ref="AJ13:AM13"/>
    <mergeCell ref="AN13:BC13"/>
    <mergeCell ref="A14:B14"/>
    <mergeCell ref="C14:AI14"/>
    <mergeCell ref="AJ14:AM14"/>
    <mergeCell ref="AN14:BC14"/>
    <mergeCell ref="A15:B15"/>
    <mergeCell ref="C15:AI15"/>
    <mergeCell ref="AJ15:AM15"/>
    <mergeCell ref="AN15:BC15"/>
    <mergeCell ref="A16:B16"/>
    <mergeCell ref="C16:AI16"/>
    <mergeCell ref="AJ16:AM16"/>
    <mergeCell ref="AN16:BC16"/>
    <mergeCell ref="A17:B17"/>
    <mergeCell ref="C17:AI17"/>
    <mergeCell ref="AJ17:AM17"/>
    <mergeCell ref="AN17:BC17"/>
    <mergeCell ref="A18:B18"/>
    <mergeCell ref="C18:AI18"/>
    <mergeCell ref="AJ18:AM18"/>
    <mergeCell ref="AN18:BC18"/>
    <mergeCell ref="A19:B19"/>
    <mergeCell ref="C19:AI19"/>
    <mergeCell ref="AJ19:AM19"/>
    <mergeCell ref="AN19:BC19"/>
    <mergeCell ref="A20:B20"/>
    <mergeCell ref="C20:AI20"/>
    <mergeCell ref="AJ20:AM20"/>
    <mergeCell ref="AN20:BC20"/>
    <mergeCell ref="A21:B21"/>
    <mergeCell ref="C21:AI21"/>
    <mergeCell ref="AJ21:AM21"/>
    <mergeCell ref="AN21:BC21"/>
    <mergeCell ref="A22:B22"/>
    <mergeCell ref="C22:AI22"/>
    <mergeCell ref="AJ22:AM22"/>
    <mergeCell ref="AN22:BC22"/>
    <mergeCell ref="A23:B23"/>
    <mergeCell ref="C23:AI23"/>
    <mergeCell ref="AJ23:AM23"/>
    <mergeCell ref="AN23:BC23"/>
    <mergeCell ref="A24:B24"/>
    <mergeCell ref="C24:AI24"/>
    <mergeCell ref="AJ24:AM24"/>
    <mergeCell ref="AN24:BC24"/>
    <mergeCell ref="A25:B25"/>
    <mergeCell ref="C25:AI25"/>
    <mergeCell ref="AJ25:AM25"/>
    <mergeCell ref="AN25:BC25"/>
    <mergeCell ref="A26:BC26"/>
    <mergeCell ref="A27:B27"/>
    <mergeCell ref="C27:AI27"/>
    <mergeCell ref="AJ27:AM27"/>
    <mergeCell ref="AN27:BC27"/>
    <mergeCell ref="A28:B28"/>
    <mergeCell ref="C28:AI28"/>
    <mergeCell ref="AJ28:AM28"/>
    <mergeCell ref="AN28:BC28"/>
    <mergeCell ref="A29:B29"/>
    <mergeCell ref="C29:AI29"/>
    <mergeCell ref="AJ29:AM29"/>
    <mergeCell ref="AN29:BC29"/>
    <mergeCell ref="A30:BC30"/>
    <mergeCell ref="A34:B34"/>
    <mergeCell ref="C34:AI34"/>
    <mergeCell ref="AJ34:AM34"/>
    <mergeCell ref="AN34:BC34"/>
    <mergeCell ref="A35:B35"/>
    <mergeCell ref="C35:AI35"/>
    <mergeCell ref="AJ35:AM35"/>
    <mergeCell ref="AN35:BC35"/>
    <mergeCell ref="A31:B31"/>
    <mergeCell ref="C31:AI31"/>
    <mergeCell ref="AJ31:AM31"/>
    <mergeCell ref="AN31:BC31"/>
    <mergeCell ref="A32:B32"/>
    <mergeCell ref="C32:AI32"/>
    <mergeCell ref="AJ32:AM32"/>
    <mergeCell ref="AN32:BC32"/>
    <mergeCell ref="A33:B33"/>
    <mergeCell ref="C33:AI33"/>
    <mergeCell ref="AJ33:AM33"/>
    <mergeCell ref="AN33:BC33"/>
  </mergeCells>
  <phoneticPr fontId="7"/>
  <conditionalFormatting sqref="A33:B33">
    <cfRule type="expression" dxfId="55" priority="39">
      <formula>AND(#REF!="対応不要",#REF!="OK")</formula>
    </cfRule>
    <cfRule type="expression" dxfId="54" priority="40">
      <formula>AND(#REF!="完了",#REF!="OK")</formula>
    </cfRule>
    <cfRule type="expression" dxfId="53" priority="41">
      <formula>#REF!="NG"</formula>
    </cfRule>
    <cfRule type="expression" dxfId="52" priority="42">
      <formula>AND(#REF!="対応不要",#REF!="OK")</formula>
    </cfRule>
    <cfRule type="expression" dxfId="51" priority="43">
      <formula>AND(#REF!="完了",#REF!="OK")</formula>
    </cfRule>
  </conditionalFormatting>
  <conditionalFormatting sqref="A28:AU29 A31:AU32 A34:AU35">
    <cfRule type="expression" dxfId="50" priority="45">
      <formula>AND(#REF!="対応不要",#REF!="OK")</formula>
    </cfRule>
    <cfRule type="expression" dxfId="49" priority="46">
      <formula>AND(#REF!="完了",#REF!="OK")</formula>
    </cfRule>
  </conditionalFormatting>
  <conditionalFormatting sqref="A28:AU29">
    <cfRule type="expression" dxfId="48" priority="44">
      <formula>#REF!="NG"</formula>
    </cfRule>
  </conditionalFormatting>
  <conditionalFormatting sqref="A31:AU35">
    <cfRule type="expression" dxfId="47" priority="35">
      <formula>#REF!="NG"</formula>
    </cfRule>
  </conditionalFormatting>
  <conditionalFormatting sqref="C33:AI33 AK33:AU33">
    <cfRule type="expression" dxfId="46" priority="29">
      <formula>#REF!="NG"</formula>
    </cfRule>
    <cfRule type="expression" dxfId="45" priority="30">
      <formula>AND(#REF!="対応不要",#REF!="OK")</formula>
    </cfRule>
    <cfRule type="expression" dxfId="44" priority="31">
      <formula>AND(#REF!="完了",#REF!="OK")</formula>
    </cfRule>
  </conditionalFormatting>
  <conditionalFormatting sqref="C33:AU33">
    <cfRule type="expression" dxfId="43" priority="36">
      <formula>AND(#REF!="対応不要",#REF!="OK")</formula>
    </cfRule>
    <cfRule type="expression" dxfId="42" priority="37">
      <formula>AND(#REF!="完了",#REF!="OK")</formula>
    </cfRule>
  </conditionalFormatting>
  <conditionalFormatting sqref="AI8 AT8 A12:AU13 A15:AU15 A14:B14 AJ14:AU14 A17:AU23 A16:B16 AJ16:AU16 A25:AU25 A24:B24 AJ24:AU24">
    <cfRule type="expression" dxfId="41" priority="53">
      <formula>#REF!="NG"</formula>
    </cfRule>
    <cfRule type="expression" dxfId="40" priority="54">
      <formula>AND(#REF!="対応不要",#REF!="OK")</formula>
    </cfRule>
    <cfRule type="expression" dxfId="39" priority="55">
      <formula>AND(#REF!="完了",#REF!="OK")</formula>
    </cfRule>
  </conditionalFormatting>
  <conditionalFormatting sqref="AI8 AT8 AJ12:AJ25">
    <cfRule type="expression" dxfId="38" priority="50">
      <formula>$AZ8="NG"</formula>
    </cfRule>
    <cfRule type="expression" dxfId="37" priority="51">
      <formula>AND($AV8="対応不要",$AZ8="OK")</formula>
    </cfRule>
    <cfRule type="expression" dxfId="36" priority="52">
      <formula>AND($AV8="完了",$AZ8="OK")</formula>
    </cfRule>
  </conditionalFormatting>
  <conditionalFormatting sqref="AJ28:AJ29 AJ31:AJ32 AJ34:AJ35">
    <cfRule type="expression" dxfId="35" priority="47">
      <formula>$AZ28="NG"</formula>
    </cfRule>
    <cfRule type="expression" dxfId="34" priority="48">
      <formula>AND($AV28="対応不要",$AZ28="OK")</formula>
    </cfRule>
    <cfRule type="expression" dxfId="33" priority="49">
      <formula>AND($AV28="完了",$AZ28="OK")</formula>
    </cfRule>
  </conditionalFormatting>
  <conditionalFormatting sqref="AJ33">
    <cfRule type="expression" dxfId="32" priority="32">
      <formula>$AZ33="NG"</formula>
    </cfRule>
    <cfRule type="expression" dxfId="31" priority="33">
      <formula>AND($AV33="対応不要",$AZ33="OK")</formula>
    </cfRule>
    <cfRule type="expression" dxfId="30" priority="34">
      <formula>AND($AV33="完了",$AZ33="OK")</formula>
    </cfRule>
  </conditionalFormatting>
  <conditionalFormatting sqref="C14:AI14">
    <cfRule type="expression" dxfId="29" priority="22">
      <formula>#REF!="NG"</formula>
    </cfRule>
    <cfRule type="expression" dxfId="28" priority="23">
      <formula>AND(#REF!="対応不要",#REF!="OK")</formula>
    </cfRule>
    <cfRule type="expression" dxfId="27" priority="24">
      <formula>AND(#REF!="完了",#REF!="OK")</formula>
    </cfRule>
  </conditionalFormatting>
  <conditionalFormatting sqref="C14:AI14">
    <cfRule type="expression" dxfId="26" priority="25">
      <formula>#REF!="NG"</formula>
    </cfRule>
    <cfRule type="expression" dxfId="25" priority="26">
      <formula>AND(#REF!="対応不要",#REF!="OK")</formula>
    </cfRule>
    <cfRule type="expression" dxfId="24" priority="27">
      <formula>AND(#REF!="完了",#REF!="OK")</formula>
    </cfRule>
  </conditionalFormatting>
  <conditionalFormatting sqref="C16:AI16">
    <cfRule type="expression" dxfId="23" priority="16">
      <formula>#REF!="NG"</formula>
    </cfRule>
    <cfRule type="expression" dxfId="22" priority="17">
      <formula>AND(#REF!="対応不要",#REF!="OK")</formula>
    </cfRule>
    <cfRule type="expression" dxfId="21" priority="18">
      <formula>AND(#REF!="完了",#REF!="OK")</formula>
    </cfRule>
  </conditionalFormatting>
  <conditionalFormatting sqref="C16:AI16">
    <cfRule type="expression" dxfId="20" priority="19">
      <formula>#REF!="NG"</formula>
    </cfRule>
    <cfRule type="expression" dxfId="19" priority="20">
      <formula>AND(#REF!="対応不要",#REF!="OK")</formula>
    </cfRule>
    <cfRule type="expression" dxfId="18" priority="21">
      <formula>AND(#REF!="完了",#REF!="OK")</formula>
    </cfRule>
  </conditionalFormatting>
  <conditionalFormatting sqref="C24:AI24">
    <cfRule type="expression" dxfId="17" priority="10">
      <formula>#REF!="NG"</formula>
    </cfRule>
    <cfRule type="expression" dxfId="16" priority="11">
      <formula>AND(#REF!="対応不要",#REF!="OK")</formula>
    </cfRule>
    <cfRule type="expression" dxfId="15" priority="12">
      <formula>AND(#REF!="完了",#REF!="OK")</formula>
    </cfRule>
  </conditionalFormatting>
  <conditionalFormatting sqref="C24:AI24">
    <cfRule type="expression" dxfId="14" priority="13">
      <formula>#REF!="NG"</formula>
    </cfRule>
    <cfRule type="expression" dxfId="13" priority="14">
      <formula>AND(#REF!="対応不要",#REF!="OK")</formula>
    </cfRule>
    <cfRule type="expression" dxfId="12" priority="15">
      <formula>AND(#REF!="完了",#REF!="OK")</formula>
    </cfRule>
  </conditionalFormatting>
  <conditionalFormatting sqref="A27:AI27 AK27:AU27">
    <cfRule type="expression" dxfId="11" priority="1">
      <formula>#REF!="NG"</formula>
    </cfRule>
    <cfRule type="expression" dxfId="10" priority="2">
      <formula>AND(#REF!="対応不要",#REF!="OK")</formula>
    </cfRule>
    <cfRule type="expression" dxfId="9" priority="3">
      <formula>AND(#REF!="完了",#REF!="OK")</formula>
    </cfRule>
  </conditionalFormatting>
  <conditionalFormatting sqref="A27:AU27">
    <cfRule type="expression" dxfId="8" priority="7">
      <formula>#REF!="NG"</formula>
    </cfRule>
    <cfRule type="expression" dxfId="7" priority="8">
      <formula>AND(#REF!="対応不要",#REF!="OK")</formula>
    </cfRule>
    <cfRule type="expression" dxfId="6" priority="9">
      <formula>AND(#REF!="完了",#REF!="OK")</formula>
    </cfRule>
  </conditionalFormatting>
  <conditionalFormatting sqref="AJ27">
    <cfRule type="expression" dxfId="5" priority="4">
      <formula>$AZ27="NG"</formula>
    </cfRule>
    <cfRule type="expression" dxfId="4" priority="5">
      <formula>AND($AV27="対応不要",$AZ27="OK")</formula>
    </cfRule>
    <cfRule type="expression" dxfId="3" priority="6">
      <formula>AND($AV27="完了",$AZ27="OK")</formula>
    </cfRule>
  </conditionalFormatting>
  <dataValidations count="3">
    <dataValidation type="list" allowBlank="1" showInputMessage="1" showErrorMessage="1" sqref="AU6:AX6" xr:uid="{00000000-0002-0000-0000-000000000000}">
      <formula1>"書面,対面"</formula1>
      <formula2>0</formula2>
    </dataValidation>
    <dataValidation type="list" allowBlank="1" showInputMessage="1" showErrorMessage="1" sqref="AJ12:AJ25 AJ31:AJ35 AJ27:AJ29" xr:uid="{00000000-0002-0000-0000-000001000000}">
      <formula1>",OK,NG,不要"</formula1>
      <formula2>0</formula2>
    </dataValidation>
    <dataValidation type="list" allowBlank="1" showInputMessage="1" showErrorMessage="1" sqref="AI8 AT8" xr:uid="{00000000-0002-0000-0000-000002000000}">
      <formula1>",OK,NG"</formula1>
      <formula2>0</formula2>
    </dataValidation>
  </dataValidations>
  <pageMargins left="0.78749999999999998" right="0.78749999999999998" top="1.05277777777778" bottom="1.05277777777778" header="0.78749999999999998" footer="0.78749999999999998"/>
  <pageSetup paperSize="9" scale="58" orientation="portrait" horizontalDpi="300" verticalDpi="300" r:id="rId1"/>
  <headerFooter>
    <oddHeader>&amp;C&amp;"Times New Roman,標準"&amp;12&amp;A</oddHeader>
    <oddFooter>&amp;C&amp;"Times New Roman,標準"&amp;12ページ &amp;P</oddFooter>
  </headerFooter>
  <colBreaks count="1" manualBreakCount="1">
    <brk id="55" max="1048575" man="1"/>
  </col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C109"/>
  <sheetViews>
    <sheetView showGridLines="0" tabSelected="1" view="pageBreakPreview" zoomScaleNormal="100" zoomScaleSheetLayoutView="100" workbookViewId="0">
      <selection activeCell="L15" sqref="L15:W19"/>
    </sheetView>
  </sheetViews>
  <sheetFormatPr defaultColWidth="2.625" defaultRowHeight="13.5" x14ac:dyDescent="0.15"/>
  <sheetData>
    <row r="1" spans="1:55" ht="13.5" customHeight="1" x14ac:dyDescent="0.15"/>
    <row r="2" spans="1:55" ht="13.5" customHeight="1" x14ac:dyDescent="0.15">
      <c r="A2" s="13" t="s">
        <v>0</v>
      </c>
      <c r="B2" s="13"/>
      <c r="C2" s="13"/>
      <c r="D2" s="13"/>
      <c r="E2" s="13"/>
      <c r="F2" s="13"/>
      <c r="G2" s="13"/>
      <c r="H2" s="13"/>
      <c r="I2" s="13"/>
      <c r="J2" s="14" t="s">
        <v>1</v>
      </c>
      <c r="K2" s="14"/>
      <c r="L2" s="14"/>
      <c r="M2" s="14"/>
      <c r="N2" s="14"/>
      <c r="O2" s="14"/>
      <c r="P2" s="14"/>
      <c r="Q2" s="14"/>
      <c r="R2" s="28" t="s">
        <v>36</v>
      </c>
      <c r="S2" s="28"/>
      <c r="T2" s="28"/>
      <c r="U2" s="28"/>
      <c r="V2" s="28"/>
      <c r="W2" s="28"/>
      <c r="X2" s="28"/>
      <c r="Y2" s="28"/>
      <c r="Z2" s="28"/>
      <c r="AA2" s="28"/>
      <c r="AB2" s="28"/>
      <c r="AC2" s="28"/>
      <c r="AD2" s="28"/>
      <c r="AE2" s="28"/>
      <c r="AF2" s="28"/>
      <c r="AG2" s="28"/>
      <c r="AH2" s="28"/>
      <c r="AI2" s="28"/>
      <c r="AJ2" s="16" t="s">
        <v>3</v>
      </c>
      <c r="AK2" s="16"/>
      <c r="AL2" s="16"/>
      <c r="AM2" s="16"/>
      <c r="AN2" s="16"/>
      <c r="AO2" s="17" t="s">
        <v>4</v>
      </c>
      <c r="AP2" s="17"/>
      <c r="AQ2" s="17"/>
      <c r="AR2" s="17"/>
      <c r="AS2" s="17"/>
      <c r="AT2" s="17" t="s">
        <v>5</v>
      </c>
      <c r="AU2" s="17"/>
      <c r="AV2" s="17"/>
      <c r="AW2" s="17"/>
      <c r="AX2" s="17"/>
      <c r="AY2" s="18" t="s">
        <v>6</v>
      </c>
      <c r="AZ2" s="18"/>
      <c r="BA2" s="18"/>
      <c r="BB2" s="18"/>
      <c r="BC2" s="18"/>
    </row>
    <row r="3" spans="1:55" ht="13.5" customHeight="1" x14ac:dyDescent="0.15">
      <c r="A3" s="29" t="s">
        <v>7</v>
      </c>
      <c r="B3" s="29"/>
      <c r="C3" s="29"/>
      <c r="D3" s="29"/>
      <c r="E3" s="29"/>
      <c r="F3" s="29"/>
      <c r="G3" s="29"/>
      <c r="H3" s="29"/>
      <c r="I3" s="29"/>
      <c r="J3" s="20" t="s">
        <v>8</v>
      </c>
      <c r="K3" s="20"/>
      <c r="L3" s="20"/>
      <c r="M3" s="20"/>
      <c r="N3" s="20"/>
      <c r="O3" s="20"/>
      <c r="P3" s="20"/>
      <c r="Q3" s="20"/>
      <c r="R3" s="21" t="str">
        <f>S6</f>
        <v>Task.25,未入力勤怠確認画面の新作成</v>
      </c>
      <c r="S3" s="21"/>
      <c r="T3" s="21"/>
      <c r="U3" s="21"/>
      <c r="V3" s="21"/>
      <c r="W3" s="21"/>
      <c r="X3" s="21"/>
      <c r="Y3" s="21"/>
      <c r="Z3" s="21"/>
      <c r="AA3" s="21"/>
      <c r="AB3" s="21"/>
      <c r="AC3" s="21"/>
      <c r="AD3" s="21"/>
      <c r="AE3" s="21"/>
      <c r="AF3" s="21"/>
      <c r="AG3" s="21"/>
      <c r="AH3" s="21"/>
      <c r="AI3" s="21"/>
      <c r="AJ3" s="22" t="s">
        <v>60</v>
      </c>
      <c r="AK3" s="22"/>
      <c r="AL3" s="22"/>
      <c r="AM3" s="22"/>
      <c r="AN3" s="22"/>
      <c r="AO3" s="23"/>
      <c r="AP3" s="23"/>
      <c r="AQ3" s="23"/>
      <c r="AR3" s="23"/>
      <c r="AS3" s="23"/>
      <c r="AT3" s="24"/>
      <c r="AU3" s="24"/>
      <c r="AV3" s="24"/>
      <c r="AW3" s="24"/>
      <c r="AX3" s="24"/>
      <c r="AY3" s="25"/>
      <c r="AZ3" s="25"/>
      <c r="BA3" s="25"/>
      <c r="BB3" s="25"/>
      <c r="BC3" s="25"/>
    </row>
    <row r="4" spans="1:55" ht="13.5" customHeight="1" x14ac:dyDescent="0.15">
      <c r="A4" s="29"/>
      <c r="B4" s="29"/>
      <c r="C4" s="29"/>
      <c r="D4" s="29"/>
      <c r="E4" s="29"/>
      <c r="F4" s="29"/>
      <c r="G4" s="29"/>
      <c r="H4" s="29"/>
      <c r="I4" s="29"/>
      <c r="J4" s="20"/>
      <c r="K4" s="20"/>
      <c r="L4" s="20"/>
      <c r="M4" s="20"/>
      <c r="N4" s="20"/>
      <c r="O4" s="20"/>
      <c r="P4" s="20"/>
      <c r="Q4" s="20"/>
      <c r="R4" s="21"/>
      <c r="S4" s="21"/>
      <c r="T4" s="21"/>
      <c r="U4" s="21"/>
      <c r="V4" s="21"/>
      <c r="W4" s="21"/>
      <c r="X4" s="21"/>
      <c r="Y4" s="21"/>
      <c r="Z4" s="21"/>
      <c r="AA4" s="21"/>
      <c r="AB4" s="21"/>
      <c r="AC4" s="21"/>
      <c r="AD4" s="21"/>
      <c r="AE4" s="21"/>
      <c r="AF4" s="21"/>
      <c r="AG4" s="21"/>
      <c r="AH4" s="21"/>
      <c r="AI4" s="21"/>
      <c r="AJ4" s="22"/>
      <c r="AK4" s="22"/>
      <c r="AL4" s="22"/>
      <c r="AM4" s="22"/>
      <c r="AN4" s="22"/>
      <c r="AO4" s="23"/>
      <c r="AP4" s="23"/>
      <c r="AQ4" s="23"/>
      <c r="AR4" s="23"/>
      <c r="AS4" s="23"/>
      <c r="AT4" s="24"/>
      <c r="AU4" s="24"/>
      <c r="AV4" s="24"/>
      <c r="AW4" s="24"/>
      <c r="AX4" s="24"/>
      <c r="AY4" s="25"/>
      <c r="AZ4" s="25"/>
      <c r="BA4" s="25"/>
      <c r="BB4" s="25"/>
      <c r="BC4" s="25"/>
    </row>
    <row r="6" spans="1:55" ht="12.75" customHeight="1" x14ac:dyDescent="0.15">
      <c r="A6" s="6" t="s">
        <v>9</v>
      </c>
      <c r="B6" s="6"/>
      <c r="C6" s="6"/>
      <c r="D6" s="6"/>
      <c r="E6" s="8" t="str">
        <f>レビュー前セルフチェック記録表_Task.25!E6</f>
        <v>AttendanceController.java
AttendanceServise.java
AttendanceMapper.XML</v>
      </c>
      <c r="F6" s="8"/>
      <c r="G6" s="8"/>
      <c r="H6" s="8"/>
      <c r="I6" s="8"/>
      <c r="J6" s="8"/>
      <c r="K6" s="8"/>
      <c r="L6" s="8"/>
      <c r="M6" s="8"/>
      <c r="N6" s="8"/>
      <c r="O6" s="6" t="s">
        <v>10</v>
      </c>
      <c r="P6" s="6"/>
      <c r="Q6" s="6"/>
      <c r="R6" s="6"/>
      <c r="S6" s="9" t="str">
        <f>レビュー前セルフチェック記録表_Task.25!S6</f>
        <v>Task.25,未入力勤怠確認画面の新作成</v>
      </c>
      <c r="T6" s="9"/>
      <c r="U6" s="9"/>
      <c r="V6" s="9"/>
      <c r="W6" s="9"/>
      <c r="X6" s="9"/>
      <c r="Y6" s="9"/>
      <c r="Z6" s="9"/>
      <c r="AA6" s="9"/>
      <c r="AB6" s="9"/>
      <c r="AC6" s="6" t="s">
        <v>37</v>
      </c>
      <c r="AD6" s="6"/>
      <c r="AE6" s="6"/>
      <c r="AF6" s="6"/>
      <c r="AG6" s="6"/>
      <c r="AH6" s="6"/>
      <c r="AI6" s="26">
        <v>45922</v>
      </c>
      <c r="AJ6" s="26"/>
      <c r="AK6" s="26"/>
      <c r="AL6" s="26"/>
      <c r="AM6" s="26"/>
      <c r="AN6" s="6" t="s">
        <v>38</v>
      </c>
      <c r="AO6" s="6"/>
      <c r="AP6" s="6"/>
      <c r="AQ6" s="6"/>
      <c r="AR6" s="6"/>
      <c r="AS6" s="6"/>
      <c r="AT6" s="26" t="s">
        <v>65</v>
      </c>
      <c r="AU6" s="26"/>
      <c r="AV6" s="26"/>
      <c r="AW6" s="26"/>
      <c r="AX6" s="26"/>
      <c r="AY6" s="6" t="s">
        <v>39</v>
      </c>
      <c r="AZ6" s="6"/>
      <c r="BA6" s="6"/>
      <c r="BB6" s="6"/>
      <c r="BC6" s="6"/>
    </row>
    <row r="7" spans="1:55" x14ac:dyDescent="0.15">
      <c r="A7" s="6"/>
      <c r="B7" s="6"/>
      <c r="C7" s="6"/>
      <c r="D7" s="6"/>
      <c r="E7" s="8"/>
      <c r="F7" s="8"/>
      <c r="G7" s="8"/>
      <c r="H7" s="8"/>
      <c r="I7" s="8"/>
      <c r="J7" s="8"/>
      <c r="K7" s="8"/>
      <c r="L7" s="8"/>
      <c r="M7" s="8"/>
      <c r="N7" s="8"/>
      <c r="O7" s="6"/>
      <c r="P7" s="6"/>
      <c r="Q7" s="6"/>
      <c r="R7" s="6"/>
      <c r="S7" s="9"/>
      <c r="T7" s="9"/>
      <c r="U7" s="9"/>
      <c r="V7" s="9"/>
      <c r="W7" s="9"/>
      <c r="X7" s="9"/>
      <c r="Y7" s="9"/>
      <c r="Z7" s="9"/>
      <c r="AA7" s="9"/>
      <c r="AB7" s="9"/>
      <c r="AC7" s="6" t="s">
        <v>40</v>
      </c>
      <c r="AD7" s="6"/>
      <c r="AE7" s="6"/>
      <c r="AF7" s="6"/>
      <c r="AG7" s="6"/>
      <c r="AH7" s="6"/>
      <c r="AI7" s="27">
        <v>0.61111111111111105</v>
      </c>
      <c r="AJ7" s="27"/>
      <c r="AK7" s="27"/>
      <c r="AL7" s="27"/>
      <c r="AM7" s="27"/>
      <c r="AN7" s="6" t="s">
        <v>41</v>
      </c>
      <c r="AO7" s="6"/>
      <c r="AP7" s="6"/>
      <c r="AQ7" s="6"/>
      <c r="AR7" s="6"/>
      <c r="AS7" s="6"/>
      <c r="AT7" s="27" t="s">
        <v>66</v>
      </c>
      <c r="AU7" s="27"/>
      <c r="AV7" s="27"/>
      <c r="AW7" s="27"/>
      <c r="AX7" s="27"/>
      <c r="AY7" s="3"/>
      <c r="AZ7" s="3"/>
      <c r="BA7" s="3"/>
      <c r="BB7" s="3"/>
      <c r="BC7" s="3"/>
    </row>
    <row r="8" spans="1:55" x14ac:dyDescent="0.15">
      <c r="A8" s="6"/>
      <c r="B8" s="6"/>
      <c r="C8" s="6"/>
      <c r="D8" s="6"/>
      <c r="E8" s="8"/>
      <c r="F8" s="8"/>
      <c r="G8" s="8"/>
      <c r="H8" s="8"/>
      <c r="I8" s="8"/>
      <c r="J8" s="8"/>
      <c r="K8" s="8"/>
      <c r="L8" s="8"/>
      <c r="M8" s="8"/>
      <c r="N8" s="8"/>
      <c r="O8" s="6"/>
      <c r="P8" s="6"/>
      <c r="Q8" s="6"/>
      <c r="R8" s="6"/>
      <c r="S8" s="9"/>
      <c r="T8" s="9"/>
      <c r="U8" s="9"/>
      <c r="V8" s="9"/>
      <c r="W8" s="9"/>
      <c r="X8" s="9"/>
      <c r="Y8" s="9"/>
      <c r="Z8" s="9"/>
      <c r="AA8" s="9"/>
      <c r="AB8" s="9"/>
      <c r="AC8" s="6" t="s">
        <v>42</v>
      </c>
      <c r="AD8" s="6"/>
      <c r="AE8" s="6"/>
      <c r="AF8" s="6"/>
      <c r="AG8" s="6"/>
      <c r="AH8" s="6"/>
      <c r="AI8" s="27">
        <v>0.63888888888888895</v>
      </c>
      <c r="AJ8" s="27"/>
      <c r="AK8" s="27"/>
      <c r="AL8" s="27"/>
      <c r="AM8" s="27"/>
      <c r="AN8" s="6" t="s">
        <v>43</v>
      </c>
      <c r="AO8" s="6"/>
      <c r="AP8" s="6"/>
      <c r="AQ8" s="6"/>
      <c r="AR8" s="6"/>
      <c r="AS8" s="6"/>
      <c r="AT8" s="27" t="s">
        <v>67</v>
      </c>
      <c r="AU8" s="27"/>
      <c r="AV8" s="27"/>
      <c r="AW8" s="27"/>
      <c r="AX8" s="27"/>
      <c r="AY8" s="3"/>
      <c r="AZ8" s="3"/>
      <c r="BA8" s="3"/>
      <c r="BB8" s="3"/>
      <c r="BC8" s="3"/>
    </row>
    <row r="9" spans="1:55" x14ac:dyDescent="0.15">
      <c r="A9" s="6" t="s">
        <v>17</v>
      </c>
      <c r="B9" s="6"/>
      <c r="C9" s="6" t="s">
        <v>44</v>
      </c>
      <c r="D9" s="6"/>
      <c r="E9" s="6"/>
      <c r="F9" s="6"/>
      <c r="G9" s="6"/>
      <c r="H9" s="6"/>
      <c r="I9" s="6"/>
      <c r="J9" s="6"/>
      <c r="K9" s="6"/>
      <c r="L9" s="6" t="s">
        <v>45</v>
      </c>
      <c r="M9" s="6"/>
      <c r="N9" s="6"/>
      <c r="O9" s="6"/>
      <c r="P9" s="6"/>
      <c r="Q9" s="6"/>
      <c r="R9" s="6"/>
      <c r="S9" s="6"/>
      <c r="T9" s="6"/>
      <c r="U9" s="6"/>
      <c r="V9" s="6"/>
      <c r="W9" s="6"/>
      <c r="X9" s="6" t="s">
        <v>46</v>
      </c>
      <c r="Y9" s="6"/>
      <c r="Z9" s="6"/>
      <c r="AA9" s="6"/>
      <c r="AB9" s="6"/>
      <c r="AC9" s="6"/>
      <c r="AD9" s="6"/>
      <c r="AE9" s="6"/>
      <c r="AF9" s="6"/>
      <c r="AG9" s="6"/>
      <c r="AH9" s="6"/>
      <c r="AI9" s="6"/>
      <c r="AJ9" s="6" t="s">
        <v>47</v>
      </c>
      <c r="AK9" s="6"/>
      <c r="AL9" s="6"/>
      <c r="AM9" s="6"/>
      <c r="AN9" s="6"/>
      <c r="AO9" s="6"/>
      <c r="AP9" s="6"/>
      <c r="AQ9" s="6"/>
      <c r="AR9" s="6"/>
      <c r="AS9" s="6"/>
      <c r="AT9" s="6"/>
      <c r="AU9" s="6"/>
      <c r="AV9" s="6" t="s">
        <v>48</v>
      </c>
      <c r="AW9" s="6"/>
      <c r="AX9" s="6"/>
      <c r="AY9" s="6"/>
      <c r="AZ9" s="6" t="s">
        <v>19</v>
      </c>
      <c r="BA9" s="6"/>
      <c r="BB9" s="6"/>
      <c r="BC9" s="6"/>
    </row>
    <row r="10" spans="1:55" x14ac:dyDescent="0.15">
      <c r="A10" s="1">
        <v>1</v>
      </c>
      <c r="B10" s="1"/>
      <c r="C10" s="2" t="s">
        <v>62</v>
      </c>
      <c r="D10" s="2"/>
      <c r="E10" s="2"/>
      <c r="F10" s="2"/>
      <c r="G10" s="2"/>
      <c r="H10" s="2"/>
      <c r="I10" s="2"/>
      <c r="J10" s="2"/>
      <c r="K10" s="2"/>
      <c r="L10" s="2" t="s">
        <v>63</v>
      </c>
      <c r="M10" s="2"/>
      <c r="N10" s="2"/>
      <c r="O10" s="2"/>
      <c r="P10" s="2"/>
      <c r="Q10" s="2"/>
      <c r="R10" s="2"/>
      <c r="S10" s="2"/>
      <c r="T10" s="2"/>
      <c r="U10" s="2"/>
      <c r="V10" s="2"/>
      <c r="W10" s="2"/>
      <c r="X10" s="2" t="s">
        <v>64</v>
      </c>
      <c r="Y10" s="2"/>
      <c r="Z10" s="2"/>
      <c r="AA10" s="2"/>
      <c r="AB10" s="2"/>
      <c r="AC10" s="2"/>
      <c r="AD10" s="2"/>
      <c r="AE10" s="2"/>
      <c r="AF10" s="2"/>
      <c r="AG10" s="2"/>
      <c r="AH10" s="2"/>
      <c r="AI10" s="2"/>
      <c r="AJ10" s="2" t="s">
        <v>71</v>
      </c>
      <c r="AK10" s="2"/>
      <c r="AL10" s="2"/>
      <c r="AM10" s="2"/>
      <c r="AN10" s="2"/>
      <c r="AO10" s="2"/>
      <c r="AP10" s="2"/>
      <c r="AQ10" s="2"/>
      <c r="AR10" s="2"/>
      <c r="AS10" s="2"/>
      <c r="AT10" s="2"/>
      <c r="AU10" s="2"/>
      <c r="AV10" s="3"/>
      <c r="AW10" s="3"/>
      <c r="AX10" s="3"/>
      <c r="AY10" s="3"/>
      <c r="AZ10" s="3"/>
      <c r="BA10" s="3"/>
      <c r="BB10" s="3"/>
      <c r="BC10" s="3"/>
    </row>
    <row r="11" spans="1:55" x14ac:dyDescent="0.15">
      <c r="A11" s="1"/>
      <c r="B11" s="1"/>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c r="AQ11" s="2"/>
      <c r="AR11" s="2"/>
      <c r="AS11" s="2"/>
      <c r="AT11" s="2"/>
      <c r="AU11" s="2"/>
      <c r="AV11" s="3"/>
      <c r="AW11" s="3"/>
      <c r="AX11" s="3"/>
      <c r="AY11" s="3"/>
      <c r="AZ11" s="3"/>
      <c r="BA11" s="3"/>
      <c r="BB11" s="3"/>
      <c r="BC11" s="3"/>
    </row>
    <row r="12" spans="1:55" x14ac:dyDescent="0.15">
      <c r="A12" s="1"/>
      <c r="B12" s="1"/>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3"/>
      <c r="AW12" s="3"/>
      <c r="AX12" s="3"/>
      <c r="AY12" s="3"/>
      <c r="AZ12" s="3"/>
      <c r="BA12" s="3"/>
      <c r="BB12" s="3"/>
      <c r="BC12" s="3"/>
    </row>
    <row r="13" spans="1:55" x14ac:dyDescent="0.15">
      <c r="A13" s="1"/>
      <c r="B13" s="1"/>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2"/>
      <c r="AV13" s="3"/>
      <c r="AW13" s="3"/>
      <c r="AX13" s="3"/>
      <c r="AY13" s="3"/>
      <c r="AZ13" s="3"/>
      <c r="BA13" s="3"/>
      <c r="BB13" s="3"/>
      <c r="BC13" s="3"/>
    </row>
    <row r="14" spans="1:55" x14ac:dyDescent="0.15">
      <c r="A14" s="1"/>
      <c r="B14" s="1"/>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c r="AS14" s="2"/>
      <c r="AT14" s="2"/>
      <c r="AU14" s="2"/>
      <c r="AV14" s="3"/>
      <c r="AW14" s="3"/>
      <c r="AX14" s="3"/>
      <c r="AY14" s="3"/>
      <c r="AZ14" s="3"/>
      <c r="BA14" s="3"/>
      <c r="BB14" s="3"/>
      <c r="BC14" s="3"/>
    </row>
    <row r="15" spans="1:55" x14ac:dyDescent="0.15">
      <c r="A15" s="1">
        <v>2</v>
      </c>
      <c r="B15" s="1"/>
      <c r="C15" s="2" t="s">
        <v>61</v>
      </c>
      <c r="D15" s="2"/>
      <c r="E15" s="2"/>
      <c r="F15" s="2"/>
      <c r="G15" s="2"/>
      <c r="H15" s="2"/>
      <c r="I15" s="2"/>
      <c r="J15" s="2"/>
      <c r="K15" s="2"/>
      <c r="L15" s="2" t="s">
        <v>69</v>
      </c>
      <c r="M15" s="2"/>
      <c r="N15" s="2"/>
      <c r="O15" s="2"/>
      <c r="P15" s="2"/>
      <c r="Q15" s="2"/>
      <c r="R15" s="2"/>
      <c r="S15" s="2"/>
      <c r="T15" s="2"/>
      <c r="U15" s="2"/>
      <c r="V15" s="2"/>
      <c r="W15" s="2"/>
      <c r="X15" s="2" t="s">
        <v>70</v>
      </c>
      <c r="Y15" s="2"/>
      <c r="Z15" s="2"/>
      <c r="AA15" s="2"/>
      <c r="AB15" s="2"/>
      <c r="AC15" s="2"/>
      <c r="AD15" s="2"/>
      <c r="AE15" s="2"/>
      <c r="AF15" s="2"/>
      <c r="AG15" s="2"/>
      <c r="AH15" s="2"/>
      <c r="AI15" s="2"/>
      <c r="AJ15" s="2" t="s">
        <v>72</v>
      </c>
      <c r="AK15" s="2"/>
      <c r="AL15" s="2"/>
      <c r="AM15" s="2"/>
      <c r="AN15" s="2"/>
      <c r="AO15" s="2"/>
      <c r="AP15" s="2"/>
      <c r="AQ15" s="2"/>
      <c r="AR15" s="2"/>
      <c r="AS15" s="2"/>
      <c r="AT15" s="2"/>
      <c r="AU15" s="2"/>
      <c r="AV15" s="3"/>
      <c r="AW15" s="3"/>
      <c r="AX15" s="3"/>
      <c r="AY15" s="3"/>
      <c r="AZ15" s="3"/>
      <c r="BA15" s="3"/>
      <c r="BB15" s="3"/>
      <c r="BC15" s="3"/>
    </row>
    <row r="16" spans="1:55" x14ac:dyDescent="0.15">
      <c r="A16" s="1"/>
      <c r="B16" s="1"/>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c r="AQ16" s="2"/>
      <c r="AR16" s="2"/>
      <c r="AS16" s="2"/>
      <c r="AT16" s="2"/>
      <c r="AU16" s="2"/>
      <c r="AV16" s="3"/>
      <c r="AW16" s="3"/>
      <c r="AX16" s="3"/>
      <c r="AY16" s="3"/>
      <c r="AZ16" s="3"/>
      <c r="BA16" s="3"/>
      <c r="BB16" s="3"/>
      <c r="BC16" s="3"/>
    </row>
    <row r="17" spans="1:55" x14ac:dyDescent="0.15">
      <c r="A17" s="1"/>
      <c r="B17" s="1"/>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3"/>
      <c r="AW17" s="3"/>
      <c r="AX17" s="3"/>
      <c r="AY17" s="3"/>
      <c r="AZ17" s="3"/>
      <c r="BA17" s="3"/>
      <c r="BB17" s="3"/>
      <c r="BC17" s="3"/>
    </row>
    <row r="18" spans="1:55" x14ac:dyDescent="0.15">
      <c r="A18" s="1"/>
      <c r="B18" s="1"/>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3"/>
      <c r="AW18" s="3"/>
      <c r="AX18" s="3"/>
      <c r="AY18" s="3"/>
      <c r="AZ18" s="3"/>
      <c r="BA18" s="3"/>
      <c r="BB18" s="3"/>
      <c r="BC18" s="3"/>
    </row>
    <row r="19" spans="1:55" x14ac:dyDescent="0.15">
      <c r="A19" s="1"/>
      <c r="B19" s="1"/>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3"/>
      <c r="AW19" s="3"/>
      <c r="AX19" s="3"/>
      <c r="AY19" s="3"/>
      <c r="AZ19" s="3"/>
      <c r="BA19" s="3"/>
      <c r="BB19" s="3"/>
      <c r="BC19" s="3"/>
    </row>
    <row r="20" spans="1:55" x14ac:dyDescent="0.15">
      <c r="A20" s="1">
        <v>3</v>
      </c>
      <c r="B20" s="1"/>
      <c r="C20" s="2" t="s">
        <v>73</v>
      </c>
      <c r="D20" s="2"/>
      <c r="E20" s="2"/>
      <c r="F20" s="2"/>
      <c r="G20" s="2"/>
      <c r="H20" s="2"/>
      <c r="I20" s="2"/>
      <c r="J20" s="2"/>
      <c r="K20" s="2"/>
      <c r="L20" s="2" t="s">
        <v>74</v>
      </c>
      <c r="M20" s="2"/>
      <c r="N20" s="2"/>
      <c r="O20" s="2"/>
      <c r="P20" s="2"/>
      <c r="Q20" s="2"/>
      <c r="R20" s="2"/>
      <c r="S20" s="2"/>
      <c r="T20" s="2"/>
      <c r="U20" s="2"/>
      <c r="V20" s="2"/>
      <c r="W20" s="2"/>
      <c r="X20" s="2" t="s">
        <v>68</v>
      </c>
      <c r="Y20" s="2"/>
      <c r="Z20" s="2"/>
      <c r="AA20" s="2"/>
      <c r="AB20" s="2"/>
      <c r="AC20" s="2"/>
      <c r="AD20" s="2"/>
      <c r="AE20" s="2"/>
      <c r="AF20" s="2"/>
      <c r="AG20" s="2"/>
      <c r="AH20" s="2"/>
      <c r="AI20" s="2"/>
      <c r="AJ20" s="2" t="s">
        <v>72</v>
      </c>
      <c r="AK20" s="2"/>
      <c r="AL20" s="2"/>
      <c r="AM20" s="2"/>
      <c r="AN20" s="2"/>
      <c r="AO20" s="2"/>
      <c r="AP20" s="2"/>
      <c r="AQ20" s="2"/>
      <c r="AR20" s="2"/>
      <c r="AS20" s="2"/>
      <c r="AT20" s="2"/>
      <c r="AU20" s="2"/>
      <c r="AV20" s="3"/>
      <c r="AW20" s="3"/>
      <c r="AX20" s="3"/>
      <c r="AY20" s="3"/>
      <c r="AZ20" s="3"/>
      <c r="BA20" s="3"/>
      <c r="BB20" s="3"/>
      <c r="BC20" s="3"/>
    </row>
    <row r="21" spans="1:55" x14ac:dyDescent="0.15">
      <c r="A21" s="1"/>
      <c r="B21" s="1"/>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3"/>
      <c r="AW21" s="3"/>
      <c r="AX21" s="3"/>
      <c r="AY21" s="3"/>
      <c r="AZ21" s="3"/>
      <c r="BA21" s="3"/>
      <c r="BB21" s="3"/>
      <c r="BC21" s="3"/>
    </row>
    <row r="22" spans="1:55" x14ac:dyDescent="0.15">
      <c r="A22" s="1"/>
      <c r="B22" s="1"/>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3"/>
      <c r="AW22" s="3"/>
      <c r="AX22" s="3"/>
      <c r="AY22" s="3"/>
      <c r="AZ22" s="3"/>
      <c r="BA22" s="3"/>
      <c r="BB22" s="3"/>
      <c r="BC22" s="3"/>
    </row>
    <row r="23" spans="1:55" x14ac:dyDescent="0.15">
      <c r="A23" s="1"/>
      <c r="B23" s="1"/>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3"/>
      <c r="AW23" s="3"/>
      <c r="AX23" s="3"/>
      <c r="AY23" s="3"/>
      <c r="AZ23" s="3"/>
      <c r="BA23" s="3"/>
      <c r="BB23" s="3"/>
      <c r="BC23" s="3"/>
    </row>
    <row r="24" spans="1:55" x14ac:dyDescent="0.15">
      <c r="A24" s="1"/>
      <c r="B24" s="1"/>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3"/>
      <c r="AW24" s="3"/>
      <c r="AX24" s="3"/>
      <c r="AY24" s="3"/>
      <c r="AZ24" s="3"/>
      <c r="BA24" s="3"/>
      <c r="BB24" s="3"/>
      <c r="BC24" s="3"/>
    </row>
    <row r="25" spans="1:55" x14ac:dyDescent="0.15">
      <c r="A25" s="1">
        <v>4</v>
      </c>
      <c r="B25" s="1"/>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3"/>
      <c r="AW25" s="3"/>
      <c r="AX25" s="3"/>
      <c r="AY25" s="3"/>
      <c r="AZ25" s="3"/>
      <c r="BA25" s="3"/>
      <c r="BB25" s="3"/>
      <c r="BC25" s="3"/>
    </row>
    <row r="26" spans="1:55" x14ac:dyDescent="0.15">
      <c r="A26" s="1"/>
      <c r="B26" s="1"/>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3"/>
      <c r="AW26" s="3"/>
      <c r="AX26" s="3"/>
      <c r="AY26" s="3"/>
      <c r="AZ26" s="3"/>
      <c r="BA26" s="3"/>
      <c r="BB26" s="3"/>
      <c r="BC26" s="3"/>
    </row>
    <row r="27" spans="1:55" x14ac:dyDescent="0.15">
      <c r="A27" s="1"/>
      <c r="B27" s="1"/>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3"/>
      <c r="AW27" s="3"/>
      <c r="AX27" s="3"/>
      <c r="AY27" s="3"/>
      <c r="AZ27" s="3"/>
      <c r="BA27" s="3"/>
      <c r="BB27" s="3"/>
      <c r="BC27" s="3"/>
    </row>
    <row r="28" spans="1:55" x14ac:dyDescent="0.15">
      <c r="A28" s="1"/>
      <c r="B28" s="1"/>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3"/>
      <c r="AW28" s="3"/>
      <c r="AX28" s="3"/>
      <c r="AY28" s="3"/>
      <c r="AZ28" s="3"/>
      <c r="BA28" s="3"/>
      <c r="BB28" s="3"/>
      <c r="BC28" s="3"/>
    </row>
    <row r="29" spans="1:55" x14ac:dyDescent="0.15">
      <c r="A29" s="1"/>
      <c r="B29" s="1"/>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3"/>
      <c r="AW29" s="3"/>
      <c r="AX29" s="3"/>
      <c r="AY29" s="3"/>
      <c r="AZ29" s="3"/>
      <c r="BA29" s="3"/>
      <c r="BB29" s="3"/>
      <c r="BC29" s="3"/>
    </row>
    <row r="30" spans="1:55" x14ac:dyDescent="0.15">
      <c r="A30" s="1">
        <v>5</v>
      </c>
      <c r="B30" s="1"/>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3"/>
      <c r="AW30" s="3"/>
      <c r="AX30" s="3"/>
      <c r="AY30" s="3"/>
      <c r="AZ30" s="3"/>
      <c r="BA30" s="3"/>
      <c r="BB30" s="3"/>
      <c r="BC30" s="3"/>
    </row>
    <row r="31" spans="1:55" x14ac:dyDescent="0.15">
      <c r="A31" s="1"/>
      <c r="B31" s="1"/>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3"/>
      <c r="AW31" s="3"/>
      <c r="AX31" s="3"/>
      <c r="AY31" s="3"/>
      <c r="AZ31" s="3"/>
      <c r="BA31" s="3"/>
      <c r="BB31" s="3"/>
      <c r="BC31" s="3"/>
    </row>
    <row r="32" spans="1:55" x14ac:dyDescent="0.15">
      <c r="A32" s="1"/>
      <c r="B32" s="1"/>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3"/>
      <c r="AW32" s="3"/>
      <c r="AX32" s="3"/>
      <c r="AY32" s="3"/>
      <c r="AZ32" s="3"/>
      <c r="BA32" s="3"/>
      <c r="BB32" s="3"/>
      <c r="BC32" s="3"/>
    </row>
    <row r="33" spans="1:55" x14ac:dyDescent="0.15">
      <c r="A33" s="1"/>
      <c r="B33" s="1"/>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3"/>
      <c r="AW33" s="3"/>
      <c r="AX33" s="3"/>
      <c r="AY33" s="3"/>
      <c r="AZ33" s="3"/>
      <c r="BA33" s="3"/>
      <c r="BB33" s="3"/>
      <c r="BC33" s="3"/>
    </row>
    <row r="34" spans="1:55" x14ac:dyDescent="0.15">
      <c r="A34" s="1"/>
      <c r="B34" s="1"/>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3"/>
      <c r="AW34" s="3"/>
      <c r="AX34" s="3"/>
      <c r="AY34" s="3"/>
      <c r="AZ34" s="3"/>
      <c r="BA34" s="3"/>
      <c r="BB34" s="3"/>
      <c r="BC34" s="3"/>
    </row>
    <row r="35" spans="1:55" x14ac:dyDescent="0.15">
      <c r="A35" s="1">
        <v>6</v>
      </c>
      <c r="B35" s="1"/>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3"/>
      <c r="AW35" s="3"/>
      <c r="AX35" s="3"/>
      <c r="AY35" s="3"/>
      <c r="AZ35" s="3"/>
      <c r="BA35" s="3"/>
      <c r="BB35" s="3"/>
      <c r="BC35" s="3"/>
    </row>
    <row r="36" spans="1:55" x14ac:dyDescent="0.15">
      <c r="A36" s="1"/>
      <c r="B36" s="1"/>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3"/>
      <c r="AW36" s="3"/>
      <c r="AX36" s="3"/>
      <c r="AY36" s="3"/>
      <c r="AZ36" s="3"/>
      <c r="BA36" s="3"/>
      <c r="BB36" s="3"/>
      <c r="BC36" s="3"/>
    </row>
    <row r="37" spans="1:55" x14ac:dyDescent="0.15">
      <c r="A37" s="1"/>
      <c r="B37" s="1"/>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3"/>
      <c r="AW37" s="3"/>
      <c r="AX37" s="3"/>
      <c r="AY37" s="3"/>
      <c r="AZ37" s="3"/>
      <c r="BA37" s="3"/>
      <c r="BB37" s="3"/>
      <c r="BC37" s="3"/>
    </row>
    <row r="38" spans="1:55" x14ac:dyDescent="0.15">
      <c r="A38" s="1"/>
      <c r="B38" s="1"/>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3"/>
      <c r="AW38" s="3"/>
      <c r="AX38" s="3"/>
      <c r="AY38" s="3"/>
      <c r="AZ38" s="3"/>
      <c r="BA38" s="3"/>
      <c r="BB38" s="3"/>
      <c r="BC38" s="3"/>
    </row>
    <row r="39" spans="1:55" x14ac:dyDescent="0.15">
      <c r="A39" s="1"/>
      <c r="B39" s="1"/>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3"/>
      <c r="AW39" s="3"/>
      <c r="AX39" s="3"/>
      <c r="AY39" s="3"/>
      <c r="AZ39" s="3"/>
      <c r="BA39" s="3"/>
      <c r="BB39" s="3"/>
      <c r="BC39" s="3"/>
    </row>
    <row r="40" spans="1:55" x14ac:dyDescent="0.15">
      <c r="A40" s="1">
        <v>7</v>
      </c>
      <c r="B40" s="1"/>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3"/>
      <c r="AW40" s="3"/>
      <c r="AX40" s="3"/>
      <c r="AY40" s="3"/>
      <c r="AZ40" s="3"/>
      <c r="BA40" s="3"/>
      <c r="BB40" s="3"/>
      <c r="BC40" s="3"/>
    </row>
    <row r="41" spans="1:55" x14ac:dyDescent="0.15">
      <c r="A41" s="1"/>
      <c r="B41" s="1"/>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3"/>
      <c r="AW41" s="3"/>
      <c r="AX41" s="3"/>
      <c r="AY41" s="3"/>
      <c r="AZ41" s="3"/>
      <c r="BA41" s="3"/>
      <c r="BB41" s="3"/>
      <c r="BC41" s="3"/>
    </row>
    <row r="42" spans="1:55" x14ac:dyDescent="0.15">
      <c r="A42" s="1"/>
      <c r="B42" s="1"/>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3"/>
      <c r="AW42" s="3"/>
      <c r="AX42" s="3"/>
      <c r="AY42" s="3"/>
      <c r="AZ42" s="3"/>
      <c r="BA42" s="3"/>
      <c r="BB42" s="3"/>
      <c r="BC42" s="3"/>
    </row>
    <row r="43" spans="1:55" x14ac:dyDescent="0.15">
      <c r="A43" s="1"/>
      <c r="B43" s="1"/>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3"/>
      <c r="AW43" s="3"/>
      <c r="AX43" s="3"/>
      <c r="AY43" s="3"/>
      <c r="AZ43" s="3"/>
      <c r="BA43" s="3"/>
      <c r="BB43" s="3"/>
      <c r="BC43" s="3"/>
    </row>
    <row r="44" spans="1:55" x14ac:dyDescent="0.15">
      <c r="A44" s="1"/>
      <c r="B44" s="1"/>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3"/>
      <c r="AW44" s="3"/>
      <c r="AX44" s="3"/>
      <c r="AY44" s="3"/>
      <c r="AZ44" s="3"/>
      <c r="BA44" s="3"/>
      <c r="BB44" s="3"/>
      <c r="BC44" s="3"/>
    </row>
    <row r="45" spans="1:55" x14ac:dyDescent="0.15">
      <c r="A45" s="1">
        <f ca="1">MAX(A$9:INDIRECT("A"&amp;ROW()-1))+1</f>
        <v>8</v>
      </c>
      <c r="B45" s="1"/>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3"/>
      <c r="AW45" s="3"/>
      <c r="AX45" s="3"/>
      <c r="AY45" s="3"/>
      <c r="AZ45" s="3"/>
      <c r="BA45" s="3"/>
      <c r="BB45" s="3"/>
      <c r="BC45" s="3"/>
    </row>
    <row r="46" spans="1:55" x14ac:dyDescent="0.15">
      <c r="A46" s="1"/>
      <c r="B46" s="1"/>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3"/>
      <c r="AW46" s="3"/>
      <c r="AX46" s="3"/>
      <c r="AY46" s="3"/>
      <c r="AZ46" s="3"/>
      <c r="BA46" s="3"/>
      <c r="BB46" s="3"/>
      <c r="BC46" s="3"/>
    </row>
    <row r="47" spans="1:55" x14ac:dyDescent="0.15">
      <c r="A47" s="1"/>
      <c r="B47" s="1"/>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3"/>
      <c r="AW47" s="3"/>
      <c r="AX47" s="3"/>
      <c r="AY47" s="3"/>
      <c r="AZ47" s="3"/>
      <c r="BA47" s="3"/>
      <c r="BB47" s="3"/>
      <c r="BC47" s="3"/>
    </row>
    <row r="48" spans="1:55" x14ac:dyDescent="0.15">
      <c r="A48" s="1"/>
      <c r="B48" s="1"/>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3"/>
      <c r="AW48" s="3"/>
      <c r="AX48" s="3"/>
      <c r="AY48" s="3"/>
      <c r="AZ48" s="3"/>
      <c r="BA48" s="3"/>
      <c r="BB48" s="3"/>
      <c r="BC48" s="3"/>
    </row>
    <row r="49" spans="1:55" x14ac:dyDescent="0.15">
      <c r="A49" s="1"/>
      <c r="B49" s="1"/>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3"/>
      <c r="AW49" s="3"/>
      <c r="AX49" s="3"/>
      <c r="AY49" s="3"/>
      <c r="AZ49" s="3"/>
      <c r="BA49" s="3"/>
      <c r="BB49" s="3"/>
      <c r="BC49" s="3"/>
    </row>
    <row r="50" spans="1:55" x14ac:dyDescent="0.15">
      <c r="A50" s="1">
        <f ca="1">MAX(A$9:INDIRECT("A"&amp;ROW()-1))+1</f>
        <v>9</v>
      </c>
      <c r="B50" s="1"/>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3"/>
      <c r="AW50" s="3"/>
      <c r="AX50" s="3"/>
      <c r="AY50" s="3"/>
      <c r="AZ50" s="3"/>
      <c r="BA50" s="3"/>
      <c r="BB50" s="3"/>
      <c r="BC50" s="3"/>
    </row>
    <row r="51" spans="1:55" x14ac:dyDescent="0.15">
      <c r="A51" s="1"/>
      <c r="B51" s="1"/>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3"/>
      <c r="AW51" s="3"/>
      <c r="AX51" s="3"/>
      <c r="AY51" s="3"/>
      <c r="AZ51" s="3"/>
      <c r="BA51" s="3"/>
      <c r="BB51" s="3"/>
      <c r="BC51" s="3"/>
    </row>
    <row r="52" spans="1:55" x14ac:dyDescent="0.15">
      <c r="A52" s="1"/>
      <c r="B52" s="1"/>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3"/>
      <c r="AW52" s="3"/>
      <c r="AX52" s="3"/>
      <c r="AY52" s="3"/>
      <c r="AZ52" s="3"/>
      <c r="BA52" s="3"/>
      <c r="BB52" s="3"/>
      <c r="BC52" s="3"/>
    </row>
    <row r="53" spans="1:55" x14ac:dyDescent="0.15">
      <c r="A53" s="1"/>
      <c r="B53" s="1"/>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3"/>
      <c r="AW53" s="3"/>
      <c r="AX53" s="3"/>
      <c r="AY53" s="3"/>
      <c r="AZ53" s="3"/>
      <c r="BA53" s="3"/>
      <c r="BB53" s="3"/>
      <c r="BC53" s="3"/>
    </row>
    <row r="54" spans="1:55" x14ac:dyDescent="0.15">
      <c r="A54" s="1"/>
      <c r="B54" s="1"/>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3"/>
      <c r="AW54" s="3"/>
      <c r="AX54" s="3"/>
      <c r="AY54" s="3"/>
      <c r="AZ54" s="3"/>
      <c r="BA54" s="3"/>
      <c r="BB54" s="3"/>
      <c r="BC54" s="3"/>
    </row>
    <row r="55" spans="1:55" x14ac:dyDescent="0.15">
      <c r="A55" s="1">
        <f ca="1">MAX(A$9:INDIRECT("A"&amp;ROW()-1))+1</f>
        <v>10</v>
      </c>
      <c r="B55" s="1"/>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3"/>
      <c r="AW55" s="3"/>
      <c r="AX55" s="3"/>
      <c r="AY55" s="3"/>
      <c r="AZ55" s="3"/>
      <c r="BA55" s="3"/>
      <c r="BB55" s="3"/>
      <c r="BC55" s="3"/>
    </row>
    <row r="56" spans="1:55" x14ac:dyDescent="0.15">
      <c r="A56" s="1"/>
      <c r="B56" s="1"/>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3"/>
      <c r="AW56" s="3"/>
      <c r="AX56" s="3"/>
      <c r="AY56" s="3"/>
      <c r="AZ56" s="3"/>
      <c r="BA56" s="3"/>
      <c r="BB56" s="3"/>
      <c r="BC56" s="3"/>
    </row>
    <row r="57" spans="1:55" x14ac:dyDescent="0.15">
      <c r="A57" s="1"/>
      <c r="B57" s="1"/>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3"/>
      <c r="AW57" s="3"/>
      <c r="AX57" s="3"/>
      <c r="AY57" s="3"/>
      <c r="AZ57" s="3"/>
      <c r="BA57" s="3"/>
      <c r="BB57" s="3"/>
      <c r="BC57" s="3"/>
    </row>
    <row r="58" spans="1:55" x14ac:dyDescent="0.15">
      <c r="A58" s="1"/>
      <c r="B58" s="1"/>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3"/>
      <c r="AW58" s="3"/>
      <c r="AX58" s="3"/>
      <c r="AY58" s="3"/>
      <c r="AZ58" s="3"/>
      <c r="BA58" s="3"/>
      <c r="BB58" s="3"/>
      <c r="BC58" s="3"/>
    </row>
    <row r="59" spans="1:55" x14ac:dyDescent="0.15">
      <c r="A59" s="1"/>
      <c r="B59" s="1"/>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3"/>
      <c r="AW59" s="3"/>
      <c r="AX59" s="3"/>
      <c r="AY59" s="3"/>
      <c r="AZ59" s="3"/>
      <c r="BA59" s="3"/>
      <c r="BB59" s="3"/>
      <c r="BC59" s="3"/>
    </row>
    <row r="60" spans="1:55" x14ac:dyDescent="0.15">
      <c r="A60" s="1">
        <f ca="1">MAX(A$9:INDIRECT("A"&amp;ROW()-1))+1</f>
        <v>11</v>
      </c>
      <c r="B60" s="1"/>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3"/>
      <c r="AW60" s="3"/>
      <c r="AX60" s="3"/>
      <c r="AY60" s="3"/>
      <c r="AZ60" s="3"/>
      <c r="BA60" s="3"/>
      <c r="BB60" s="3"/>
      <c r="BC60" s="3"/>
    </row>
    <row r="61" spans="1:55" x14ac:dyDescent="0.15">
      <c r="A61" s="1"/>
      <c r="B61" s="1"/>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3"/>
      <c r="AW61" s="3"/>
      <c r="AX61" s="3"/>
      <c r="AY61" s="3"/>
      <c r="AZ61" s="3"/>
      <c r="BA61" s="3"/>
      <c r="BB61" s="3"/>
      <c r="BC61" s="3"/>
    </row>
    <row r="62" spans="1:55" x14ac:dyDescent="0.15">
      <c r="A62" s="1"/>
      <c r="B62" s="1"/>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3"/>
      <c r="AW62" s="3"/>
      <c r="AX62" s="3"/>
      <c r="AY62" s="3"/>
      <c r="AZ62" s="3"/>
      <c r="BA62" s="3"/>
      <c r="BB62" s="3"/>
      <c r="BC62" s="3"/>
    </row>
    <row r="63" spans="1:55" x14ac:dyDescent="0.15">
      <c r="A63" s="1"/>
      <c r="B63" s="1"/>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3"/>
      <c r="AW63" s="3"/>
      <c r="AX63" s="3"/>
      <c r="AY63" s="3"/>
      <c r="AZ63" s="3"/>
      <c r="BA63" s="3"/>
      <c r="BB63" s="3"/>
      <c r="BC63" s="3"/>
    </row>
    <row r="64" spans="1:55" x14ac:dyDescent="0.15">
      <c r="A64" s="1"/>
      <c r="B64" s="1"/>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3"/>
      <c r="AW64" s="3"/>
      <c r="AX64" s="3"/>
      <c r="AY64" s="3"/>
      <c r="AZ64" s="3"/>
      <c r="BA64" s="3"/>
      <c r="BB64" s="3"/>
      <c r="BC64" s="3"/>
    </row>
    <row r="65" spans="1:55" x14ac:dyDescent="0.15">
      <c r="A65" s="1">
        <f ca="1">MAX(A$9:INDIRECT("A"&amp;ROW()-1))+1</f>
        <v>12</v>
      </c>
      <c r="B65" s="1"/>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3"/>
      <c r="AW65" s="3"/>
      <c r="AX65" s="3"/>
      <c r="AY65" s="3"/>
      <c r="AZ65" s="3"/>
      <c r="BA65" s="3"/>
      <c r="BB65" s="3"/>
      <c r="BC65" s="3"/>
    </row>
    <row r="66" spans="1:55" x14ac:dyDescent="0.15">
      <c r="A66" s="1"/>
      <c r="B66" s="1"/>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3"/>
      <c r="AW66" s="3"/>
      <c r="AX66" s="3"/>
      <c r="AY66" s="3"/>
      <c r="AZ66" s="3"/>
      <c r="BA66" s="3"/>
      <c r="BB66" s="3"/>
      <c r="BC66" s="3"/>
    </row>
    <row r="67" spans="1:55" x14ac:dyDescent="0.15">
      <c r="A67" s="1"/>
      <c r="B67" s="1"/>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3"/>
      <c r="AW67" s="3"/>
      <c r="AX67" s="3"/>
      <c r="AY67" s="3"/>
      <c r="AZ67" s="3"/>
      <c r="BA67" s="3"/>
      <c r="BB67" s="3"/>
      <c r="BC67" s="3"/>
    </row>
    <row r="68" spans="1:55" x14ac:dyDescent="0.15">
      <c r="A68" s="1"/>
      <c r="B68" s="1"/>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3"/>
      <c r="AW68" s="3"/>
      <c r="AX68" s="3"/>
      <c r="AY68" s="3"/>
      <c r="AZ68" s="3"/>
      <c r="BA68" s="3"/>
      <c r="BB68" s="3"/>
      <c r="BC68" s="3"/>
    </row>
    <row r="69" spans="1:55" x14ac:dyDescent="0.15">
      <c r="A69" s="1"/>
      <c r="B69" s="1"/>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3"/>
      <c r="AW69" s="3"/>
      <c r="AX69" s="3"/>
      <c r="AY69" s="3"/>
      <c r="AZ69" s="3"/>
      <c r="BA69" s="3"/>
      <c r="BB69" s="3"/>
      <c r="BC69" s="3"/>
    </row>
    <row r="70" spans="1:55" x14ac:dyDescent="0.15">
      <c r="A70" s="1">
        <f ca="1">MAX(A$9:INDIRECT("A"&amp;ROW()-1))+1</f>
        <v>13</v>
      </c>
      <c r="B70" s="1"/>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3"/>
      <c r="AW70" s="3"/>
      <c r="AX70" s="3"/>
      <c r="AY70" s="3"/>
      <c r="AZ70" s="3"/>
      <c r="BA70" s="3"/>
      <c r="BB70" s="3"/>
      <c r="BC70" s="3"/>
    </row>
    <row r="71" spans="1:55" x14ac:dyDescent="0.15">
      <c r="A71" s="1"/>
      <c r="B71" s="1"/>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3"/>
      <c r="AW71" s="3"/>
      <c r="AX71" s="3"/>
      <c r="AY71" s="3"/>
      <c r="AZ71" s="3"/>
      <c r="BA71" s="3"/>
      <c r="BB71" s="3"/>
      <c r="BC71" s="3"/>
    </row>
    <row r="72" spans="1:55" x14ac:dyDescent="0.15">
      <c r="A72" s="1"/>
      <c r="B72" s="1"/>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3"/>
      <c r="AW72" s="3"/>
      <c r="AX72" s="3"/>
      <c r="AY72" s="3"/>
      <c r="AZ72" s="3"/>
      <c r="BA72" s="3"/>
      <c r="BB72" s="3"/>
      <c r="BC72" s="3"/>
    </row>
    <row r="73" spans="1:55" x14ac:dyDescent="0.15">
      <c r="A73" s="1"/>
      <c r="B73" s="1"/>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3"/>
      <c r="AW73" s="3"/>
      <c r="AX73" s="3"/>
      <c r="AY73" s="3"/>
      <c r="AZ73" s="3"/>
      <c r="BA73" s="3"/>
      <c r="BB73" s="3"/>
      <c r="BC73" s="3"/>
    </row>
    <row r="74" spans="1:55" x14ac:dyDescent="0.15">
      <c r="A74" s="1"/>
      <c r="B74" s="1"/>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3"/>
      <c r="AW74" s="3"/>
      <c r="AX74" s="3"/>
      <c r="AY74" s="3"/>
      <c r="AZ74" s="3"/>
      <c r="BA74" s="3"/>
      <c r="BB74" s="3"/>
      <c r="BC74" s="3"/>
    </row>
    <row r="75" spans="1:55" x14ac:dyDescent="0.15">
      <c r="A75" s="1">
        <f ca="1">MAX(A$9:INDIRECT("A"&amp;ROW()-1))+1</f>
        <v>14</v>
      </c>
      <c r="B75" s="1"/>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3"/>
      <c r="AW75" s="3"/>
      <c r="AX75" s="3"/>
      <c r="AY75" s="3"/>
      <c r="AZ75" s="3"/>
      <c r="BA75" s="3"/>
      <c r="BB75" s="3"/>
      <c r="BC75" s="3"/>
    </row>
    <row r="76" spans="1:55" x14ac:dyDescent="0.15">
      <c r="A76" s="1"/>
      <c r="B76" s="1"/>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3"/>
      <c r="AW76" s="3"/>
      <c r="AX76" s="3"/>
      <c r="AY76" s="3"/>
      <c r="AZ76" s="3"/>
      <c r="BA76" s="3"/>
      <c r="BB76" s="3"/>
      <c r="BC76" s="3"/>
    </row>
    <row r="77" spans="1:55" x14ac:dyDescent="0.15">
      <c r="A77" s="1"/>
      <c r="B77" s="1"/>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3"/>
      <c r="AW77" s="3"/>
      <c r="AX77" s="3"/>
      <c r="AY77" s="3"/>
      <c r="AZ77" s="3"/>
      <c r="BA77" s="3"/>
      <c r="BB77" s="3"/>
      <c r="BC77" s="3"/>
    </row>
    <row r="78" spans="1:55" x14ac:dyDescent="0.15">
      <c r="A78" s="1"/>
      <c r="B78" s="1"/>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3"/>
      <c r="AW78" s="3"/>
      <c r="AX78" s="3"/>
      <c r="AY78" s="3"/>
      <c r="AZ78" s="3"/>
      <c r="BA78" s="3"/>
      <c r="BB78" s="3"/>
      <c r="BC78" s="3"/>
    </row>
    <row r="79" spans="1:55" x14ac:dyDescent="0.15">
      <c r="A79" s="1"/>
      <c r="B79" s="1"/>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3"/>
      <c r="AW79" s="3"/>
      <c r="AX79" s="3"/>
      <c r="AY79" s="3"/>
      <c r="AZ79" s="3"/>
      <c r="BA79" s="3"/>
      <c r="BB79" s="3"/>
      <c r="BC79" s="3"/>
    </row>
    <row r="80" spans="1:55" x14ac:dyDescent="0.15">
      <c r="A80" s="1">
        <f ca="1">MAX(A$9:INDIRECT("A"&amp;ROW()-1))+1</f>
        <v>15</v>
      </c>
      <c r="B80" s="1"/>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3"/>
      <c r="AW80" s="3"/>
      <c r="AX80" s="3"/>
      <c r="AY80" s="3"/>
      <c r="AZ80" s="3"/>
      <c r="BA80" s="3"/>
      <c r="BB80" s="3"/>
      <c r="BC80" s="3"/>
    </row>
    <row r="81" spans="1:55" x14ac:dyDescent="0.15">
      <c r="A81" s="1"/>
      <c r="B81" s="1"/>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3"/>
      <c r="AW81" s="3"/>
      <c r="AX81" s="3"/>
      <c r="AY81" s="3"/>
      <c r="AZ81" s="3"/>
      <c r="BA81" s="3"/>
      <c r="BB81" s="3"/>
      <c r="BC81" s="3"/>
    </row>
    <row r="82" spans="1:55" x14ac:dyDescent="0.15">
      <c r="A82" s="1"/>
      <c r="B82" s="1"/>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3"/>
      <c r="AW82" s="3"/>
      <c r="AX82" s="3"/>
      <c r="AY82" s="3"/>
      <c r="AZ82" s="3"/>
      <c r="BA82" s="3"/>
      <c r="BB82" s="3"/>
      <c r="BC82" s="3"/>
    </row>
    <row r="83" spans="1:55" x14ac:dyDescent="0.15">
      <c r="A83" s="1"/>
      <c r="B83" s="1"/>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3"/>
      <c r="AW83" s="3"/>
      <c r="AX83" s="3"/>
      <c r="AY83" s="3"/>
      <c r="AZ83" s="3"/>
      <c r="BA83" s="3"/>
      <c r="BB83" s="3"/>
      <c r="BC83" s="3"/>
    </row>
    <row r="84" spans="1:55" x14ac:dyDescent="0.15">
      <c r="A84" s="1"/>
      <c r="B84" s="1"/>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3"/>
      <c r="AW84" s="3"/>
      <c r="AX84" s="3"/>
      <c r="AY84" s="3"/>
      <c r="AZ84" s="3"/>
      <c r="BA84" s="3"/>
      <c r="BB84" s="3"/>
      <c r="BC84" s="3"/>
    </row>
    <row r="85" spans="1:55" x14ac:dyDescent="0.15">
      <c r="A85" s="1">
        <f ca="1">MAX(A$9:INDIRECT("A"&amp;ROW()-1))+1</f>
        <v>16</v>
      </c>
      <c r="B85" s="1"/>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3"/>
      <c r="AW85" s="3"/>
      <c r="AX85" s="3"/>
      <c r="AY85" s="3"/>
      <c r="AZ85" s="3"/>
      <c r="BA85" s="3"/>
      <c r="BB85" s="3"/>
      <c r="BC85" s="3"/>
    </row>
    <row r="86" spans="1:55" x14ac:dyDescent="0.15">
      <c r="A86" s="1"/>
      <c r="B86" s="1"/>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3"/>
      <c r="AW86" s="3"/>
      <c r="AX86" s="3"/>
      <c r="AY86" s="3"/>
      <c r="AZ86" s="3"/>
      <c r="BA86" s="3"/>
      <c r="BB86" s="3"/>
      <c r="BC86" s="3"/>
    </row>
    <row r="87" spans="1:55" x14ac:dyDescent="0.15">
      <c r="A87" s="1"/>
      <c r="B87" s="1"/>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3"/>
      <c r="AW87" s="3"/>
      <c r="AX87" s="3"/>
      <c r="AY87" s="3"/>
      <c r="AZ87" s="3"/>
      <c r="BA87" s="3"/>
      <c r="BB87" s="3"/>
      <c r="BC87" s="3"/>
    </row>
    <row r="88" spans="1:55" x14ac:dyDescent="0.15">
      <c r="A88" s="1"/>
      <c r="B88" s="1"/>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3"/>
      <c r="AW88" s="3"/>
      <c r="AX88" s="3"/>
      <c r="AY88" s="3"/>
      <c r="AZ88" s="3"/>
      <c r="BA88" s="3"/>
      <c r="BB88" s="3"/>
      <c r="BC88" s="3"/>
    </row>
    <row r="89" spans="1:55" x14ac:dyDescent="0.15">
      <c r="A89" s="1"/>
      <c r="B89" s="1"/>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3"/>
      <c r="AW89" s="3"/>
      <c r="AX89" s="3"/>
      <c r="AY89" s="3"/>
      <c r="AZ89" s="3"/>
      <c r="BA89" s="3"/>
      <c r="BB89" s="3"/>
      <c r="BC89" s="3"/>
    </row>
    <row r="90" spans="1:55" x14ac:dyDescent="0.15">
      <c r="A90" s="1">
        <f ca="1">MAX(A$9:INDIRECT("A"&amp;ROW()-1))+1</f>
        <v>17</v>
      </c>
      <c r="B90" s="1"/>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3"/>
      <c r="AW90" s="3"/>
      <c r="AX90" s="3"/>
      <c r="AY90" s="3"/>
      <c r="AZ90" s="3"/>
      <c r="BA90" s="3"/>
      <c r="BB90" s="3"/>
      <c r="BC90" s="3"/>
    </row>
    <row r="91" spans="1:55" x14ac:dyDescent="0.15">
      <c r="A91" s="1"/>
      <c r="B91" s="1"/>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3"/>
      <c r="AW91" s="3"/>
      <c r="AX91" s="3"/>
      <c r="AY91" s="3"/>
      <c r="AZ91" s="3"/>
      <c r="BA91" s="3"/>
      <c r="BB91" s="3"/>
      <c r="BC91" s="3"/>
    </row>
    <row r="92" spans="1:55" x14ac:dyDescent="0.15">
      <c r="A92" s="1"/>
      <c r="B92" s="1"/>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3"/>
      <c r="AW92" s="3"/>
      <c r="AX92" s="3"/>
      <c r="AY92" s="3"/>
      <c r="AZ92" s="3"/>
      <c r="BA92" s="3"/>
      <c r="BB92" s="3"/>
      <c r="BC92" s="3"/>
    </row>
    <row r="93" spans="1:55" x14ac:dyDescent="0.15">
      <c r="A93" s="1"/>
      <c r="B93" s="1"/>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3"/>
      <c r="AW93" s="3"/>
      <c r="AX93" s="3"/>
      <c r="AY93" s="3"/>
      <c r="AZ93" s="3"/>
      <c r="BA93" s="3"/>
      <c r="BB93" s="3"/>
      <c r="BC93" s="3"/>
    </row>
    <row r="94" spans="1:55" x14ac:dyDescent="0.15">
      <c r="A94" s="1"/>
      <c r="B94" s="1"/>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3"/>
      <c r="AW94" s="3"/>
      <c r="AX94" s="3"/>
      <c r="AY94" s="3"/>
      <c r="AZ94" s="3"/>
      <c r="BA94" s="3"/>
      <c r="BB94" s="3"/>
      <c r="BC94" s="3"/>
    </row>
    <row r="95" spans="1:55" x14ac:dyDescent="0.15">
      <c r="A95" s="1">
        <f ca="1">MAX(A$9:INDIRECT("A"&amp;ROW()-1))+1</f>
        <v>18</v>
      </c>
      <c r="B95" s="1"/>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3"/>
      <c r="AW95" s="3"/>
      <c r="AX95" s="3"/>
      <c r="AY95" s="3"/>
      <c r="AZ95" s="3"/>
      <c r="BA95" s="3"/>
      <c r="BB95" s="3"/>
      <c r="BC95" s="3"/>
    </row>
    <row r="96" spans="1:55" x14ac:dyDescent="0.15">
      <c r="A96" s="1"/>
      <c r="B96" s="1"/>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3"/>
      <c r="AW96" s="3"/>
      <c r="AX96" s="3"/>
      <c r="AY96" s="3"/>
      <c r="AZ96" s="3"/>
      <c r="BA96" s="3"/>
      <c r="BB96" s="3"/>
      <c r="BC96" s="3"/>
    </row>
    <row r="97" spans="1:55" x14ac:dyDescent="0.15">
      <c r="A97" s="1"/>
      <c r="B97" s="1"/>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3"/>
      <c r="AW97" s="3"/>
      <c r="AX97" s="3"/>
      <c r="AY97" s="3"/>
      <c r="AZ97" s="3"/>
      <c r="BA97" s="3"/>
      <c r="BB97" s="3"/>
      <c r="BC97" s="3"/>
    </row>
    <row r="98" spans="1:55" x14ac:dyDescent="0.15">
      <c r="A98" s="1"/>
      <c r="B98" s="1"/>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3"/>
      <c r="AW98" s="3"/>
      <c r="AX98" s="3"/>
      <c r="AY98" s="3"/>
      <c r="AZ98" s="3"/>
      <c r="BA98" s="3"/>
      <c r="BB98" s="3"/>
      <c r="BC98" s="3"/>
    </row>
    <row r="99" spans="1:55" x14ac:dyDescent="0.15">
      <c r="A99" s="1"/>
      <c r="B99" s="1"/>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3"/>
      <c r="AW99" s="3"/>
      <c r="AX99" s="3"/>
      <c r="AY99" s="3"/>
      <c r="AZ99" s="3"/>
      <c r="BA99" s="3"/>
      <c r="BB99" s="3"/>
      <c r="BC99" s="3"/>
    </row>
    <row r="100" spans="1:55" x14ac:dyDescent="0.15">
      <c r="A100" s="1">
        <f ca="1">MAX(A$9:INDIRECT("A"&amp;ROW()-1))+1</f>
        <v>19</v>
      </c>
      <c r="B100" s="1"/>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3"/>
      <c r="AW100" s="3"/>
      <c r="AX100" s="3"/>
      <c r="AY100" s="3"/>
      <c r="AZ100" s="3"/>
      <c r="BA100" s="3"/>
      <c r="BB100" s="3"/>
      <c r="BC100" s="3"/>
    </row>
    <row r="101" spans="1:55" x14ac:dyDescent="0.15">
      <c r="A101" s="1"/>
      <c r="B101" s="1"/>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3"/>
      <c r="AW101" s="3"/>
      <c r="AX101" s="3"/>
      <c r="AY101" s="3"/>
      <c r="AZ101" s="3"/>
      <c r="BA101" s="3"/>
      <c r="BB101" s="3"/>
      <c r="BC101" s="3"/>
    </row>
    <row r="102" spans="1:55" x14ac:dyDescent="0.15">
      <c r="A102" s="1"/>
      <c r="B102" s="1"/>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3"/>
      <c r="AW102" s="3"/>
      <c r="AX102" s="3"/>
      <c r="AY102" s="3"/>
      <c r="AZ102" s="3"/>
      <c r="BA102" s="3"/>
      <c r="BB102" s="3"/>
      <c r="BC102" s="3"/>
    </row>
    <row r="103" spans="1:55" x14ac:dyDescent="0.15">
      <c r="A103" s="1"/>
      <c r="B103" s="1"/>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3"/>
      <c r="AW103" s="3"/>
      <c r="AX103" s="3"/>
      <c r="AY103" s="3"/>
      <c r="AZ103" s="3"/>
      <c r="BA103" s="3"/>
      <c r="BB103" s="3"/>
      <c r="BC103" s="3"/>
    </row>
    <row r="104" spans="1:55" x14ac:dyDescent="0.15">
      <c r="A104" s="1"/>
      <c r="B104" s="1"/>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3"/>
      <c r="AW104" s="3"/>
      <c r="AX104" s="3"/>
      <c r="AY104" s="3"/>
      <c r="AZ104" s="3"/>
      <c r="BA104" s="3"/>
      <c r="BB104" s="3"/>
      <c r="BC104" s="3"/>
    </row>
    <row r="105" spans="1:55" x14ac:dyDescent="0.15">
      <c r="A105" s="1">
        <f ca="1">MAX(A$9:INDIRECT("A"&amp;ROW()-1))+1</f>
        <v>20</v>
      </c>
      <c r="B105" s="1"/>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3"/>
      <c r="AW105" s="3"/>
      <c r="AX105" s="3"/>
      <c r="AY105" s="3"/>
      <c r="AZ105" s="3"/>
      <c r="BA105" s="3"/>
      <c r="BB105" s="3"/>
      <c r="BC105" s="3"/>
    </row>
    <row r="106" spans="1:55" x14ac:dyDescent="0.15">
      <c r="A106" s="1"/>
      <c r="B106" s="1"/>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3"/>
      <c r="AW106" s="3"/>
      <c r="AX106" s="3"/>
      <c r="AY106" s="3"/>
      <c r="AZ106" s="3"/>
      <c r="BA106" s="3"/>
      <c r="BB106" s="3"/>
      <c r="BC106" s="3"/>
    </row>
    <row r="107" spans="1:55" x14ac:dyDescent="0.15">
      <c r="A107" s="1"/>
      <c r="B107" s="1"/>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3"/>
      <c r="AW107" s="3"/>
      <c r="AX107" s="3"/>
      <c r="AY107" s="3"/>
      <c r="AZ107" s="3"/>
      <c r="BA107" s="3"/>
      <c r="BB107" s="3"/>
      <c r="BC107" s="3"/>
    </row>
    <row r="108" spans="1:55" x14ac:dyDescent="0.15">
      <c r="A108" s="1"/>
      <c r="B108" s="1"/>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3"/>
      <c r="AW108" s="3"/>
      <c r="AX108" s="3"/>
      <c r="AY108" s="3"/>
      <c r="AZ108" s="3"/>
      <c r="BA108" s="3"/>
      <c r="BB108" s="3"/>
      <c r="BC108" s="3"/>
    </row>
    <row r="109" spans="1:55" x14ac:dyDescent="0.15">
      <c r="A109" s="1"/>
      <c r="B109" s="1"/>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3"/>
      <c r="AW109" s="3"/>
      <c r="AX109" s="3"/>
      <c r="AY109" s="3"/>
      <c r="AZ109" s="3"/>
      <c r="BA109" s="3"/>
      <c r="BB109" s="3"/>
      <c r="BC109" s="3"/>
    </row>
  </sheetData>
  <mergeCells count="179">
    <mergeCell ref="A2:I2"/>
    <mergeCell ref="J2:Q2"/>
    <mergeCell ref="R2:AI2"/>
    <mergeCell ref="AJ2:AN2"/>
    <mergeCell ref="AO2:AS2"/>
    <mergeCell ref="AT2:AX2"/>
    <mergeCell ref="AY2:BC2"/>
    <mergeCell ref="A3:I4"/>
    <mergeCell ref="J3:Q4"/>
    <mergeCell ref="R3:AI4"/>
    <mergeCell ref="AJ3:AN4"/>
    <mergeCell ref="AO3:AS4"/>
    <mergeCell ref="AT3:AX4"/>
    <mergeCell ref="AY3:BC4"/>
    <mergeCell ref="A6:D8"/>
    <mergeCell ref="E6:N8"/>
    <mergeCell ref="O6:R8"/>
    <mergeCell ref="S6:AB8"/>
    <mergeCell ref="AC6:AH6"/>
    <mergeCell ref="AI6:AM6"/>
    <mergeCell ref="AN6:AS6"/>
    <mergeCell ref="AT6:AX6"/>
    <mergeCell ref="AY6:BC6"/>
    <mergeCell ref="AC7:AH7"/>
    <mergeCell ref="AI7:AM7"/>
    <mergeCell ref="AN7:AS7"/>
    <mergeCell ref="AT7:AX7"/>
    <mergeCell ref="AY7:BC8"/>
    <mergeCell ref="AC8:AH8"/>
    <mergeCell ref="AI8:AM8"/>
    <mergeCell ref="AN8:AS8"/>
    <mergeCell ref="AT8:AX8"/>
    <mergeCell ref="A9:B9"/>
    <mergeCell ref="C9:K9"/>
    <mergeCell ref="L9:W9"/>
    <mergeCell ref="X9:AI9"/>
    <mergeCell ref="AJ9:AU9"/>
    <mergeCell ref="AV9:AY9"/>
    <mergeCell ref="AZ9:BC9"/>
    <mergeCell ref="A10:B14"/>
    <mergeCell ref="C10:K14"/>
    <mergeCell ref="L10:W14"/>
    <mergeCell ref="X10:AI14"/>
    <mergeCell ref="AJ10:AU14"/>
    <mergeCell ref="AV10:AY14"/>
    <mergeCell ref="AZ10:BC14"/>
    <mergeCell ref="A15:B19"/>
    <mergeCell ref="C15:K19"/>
    <mergeCell ref="L15:W19"/>
    <mergeCell ref="X15:AI19"/>
    <mergeCell ref="AJ15:AU19"/>
    <mergeCell ref="AV15:AY19"/>
    <mergeCell ref="AZ15:BC19"/>
    <mergeCell ref="A20:B24"/>
    <mergeCell ref="C20:K24"/>
    <mergeCell ref="L20:W24"/>
    <mergeCell ref="X20:AI24"/>
    <mergeCell ref="AJ20:AU24"/>
    <mergeCell ref="AV20:AY24"/>
    <mergeCell ref="AZ20:BC24"/>
    <mergeCell ref="A25:B29"/>
    <mergeCell ref="C25:K29"/>
    <mergeCell ref="L25:W29"/>
    <mergeCell ref="X25:AI29"/>
    <mergeCell ref="AJ25:AU29"/>
    <mergeCell ref="AV25:AY29"/>
    <mergeCell ref="AZ25:BC29"/>
    <mergeCell ref="A30:B34"/>
    <mergeCell ref="C30:K34"/>
    <mergeCell ref="L30:W34"/>
    <mergeCell ref="X30:AI34"/>
    <mergeCell ref="AJ30:AU34"/>
    <mergeCell ref="AV30:AY34"/>
    <mergeCell ref="AZ30:BC34"/>
    <mergeCell ref="A35:B39"/>
    <mergeCell ref="C35:K39"/>
    <mergeCell ref="L35:W39"/>
    <mergeCell ref="X35:AI39"/>
    <mergeCell ref="AJ35:AU39"/>
    <mergeCell ref="AV35:AY39"/>
    <mergeCell ref="AZ35:BC39"/>
    <mergeCell ref="A40:B44"/>
    <mergeCell ref="C40:K44"/>
    <mergeCell ref="L40:W44"/>
    <mergeCell ref="X40:AI44"/>
    <mergeCell ref="AJ40:AU44"/>
    <mergeCell ref="AV40:AY44"/>
    <mergeCell ref="AZ40:BC44"/>
    <mergeCell ref="A45:B49"/>
    <mergeCell ref="C45:K49"/>
    <mergeCell ref="L45:W49"/>
    <mergeCell ref="X45:AI49"/>
    <mergeCell ref="AJ45:AU49"/>
    <mergeCell ref="AV45:AY49"/>
    <mergeCell ref="AZ45:BC49"/>
    <mergeCell ref="A50:B54"/>
    <mergeCell ref="C50:K54"/>
    <mergeCell ref="L50:W54"/>
    <mergeCell ref="X50:AI54"/>
    <mergeCell ref="AJ50:AU54"/>
    <mergeCell ref="AV50:AY54"/>
    <mergeCell ref="AZ50:BC54"/>
    <mergeCell ref="A55:B59"/>
    <mergeCell ref="C55:K59"/>
    <mergeCell ref="L55:W59"/>
    <mergeCell ref="X55:AI59"/>
    <mergeCell ref="AJ55:AU59"/>
    <mergeCell ref="AV55:AY59"/>
    <mergeCell ref="AZ55:BC59"/>
    <mergeCell ref="A60:B64"/>
    <mergeCell ref="C60:K64"/>
    <mergeCell ref="L60:W64"/>
    <mergeCell ref="X60:AI64"/>
    <mergeCell ref="AJ60:AU64"/>
    <mergeCell ref="AV60:AY64"/>
    <mergeCell ref="AZ60:BC64"/>
    <mergeCell ref="A65:B69"/>
    <mergeCell ref="C65:K69"/>
    <mergeCell ref="L65:W69"/>
    <mergeCell ref="X65:AI69"/>
    <mergeCell ref="AJ65:AU69"/>
    <mergeCell ref="AV65:AY69"/>
    <mergeCell ref="AZ65:BC69"/>
    <mergeCell ref="A70:B74"/>
    <mergeCell ref="C70:K74"/>
    <mergeCell ref="L70:W74"/>
    <mergeCell ref="X70:AI74"/>
    <mergeCell ref="AJ70:AU74"/>
    <mergeCell ref="AV70:AY74"/>
    <mergeCell ref="AZ70:BC74"/>
    <mergeCell ref="A75:B79"/>
    <mergeCell ref="C75:K79"/>
    <mergeCell ref="L75:W79"/>
    <mergeCell ref="X75:AI79"/>
    <mergeCell ref="AJ75:AU79"/>
    <mergeCell ref="AV75:AY79"/>
    <mergeCell ref="AZ75:BC79"/>
    <mergeCell ref="A80:B84"/>
    <mergeCell ref="C80:K84"/>
    <mergeCell ref="L80:W84"/>
    <mergeCell ref="X80:AI84"/>
    <mergeCell ref="AJ80:AU84"/>
    <mergeCell ref="AV80:AY84"/>
    <mergeCell ref="AZ80:BC84"/>
    <mergeCell ref="A85:B89"/>
    <mergeCell ref="C85:K89"/>
    <mergeCell ref="L85:W89"/>
    <mergeCell ref="X85:AI89"/>
    <mergeCell ref="AJ85:AU89"/>
    <mergeCell ref="AV85:AY89"/>
    <mergeCell ref="AZ85:BC89"/>
    <mergeCell ref="A90:B94"/>
    <mergeCell ref="C90:K94"/>
    <mergeCell ref="L90:W94"/>
    <mergeCell ref="X90:AI94"/>
    <mergeCell ref="AJ90:AU94"/>
    <mergeCell ref="AV90:AY94"/>
    <mergeCell ref="AZ90:BC94"/>
    <mergeCell ref="A105:B109"/>
    <mergeCell ref="C105:K109"/>
    <mergeCell ref="L105:W109"/>
    <mergeCell ref="X105:AI109"/>
    <mergeCell ref="AJ105:AU109"/>
    <mergeCell ref="AV105:AY109"/>
    <mergeCell ref="AZ105:BC109"/>
    <mergeCell ref="A95:B99"/>
    <mergeCell ref="C95:K99"/>
    <mergeCell ref="L95:W99"/>
    <mergeCell ref="X95:AI99"/>
    <mergeCell ref="AJ95:AU99"/>
    <mergeCell ref="AV95:AY99"/>
    <mergeCell ref="AZ95:BC99"/>
    <mergeCell ref="A100:B104"/>
    <mergeCell ref="C100:K104"/>
    <mergeCell ref="L100:W104"/>
    <mergeCell ref="X100:AI104"/>
    <mergeCell ref="AJ100:AU104"/>
    <mergeCell ref="AV100:AY104"/>
    <mergeCell ref="AZ100:BC104"/>
  </mergeCells>
  <phoneticPr fontId="7"/>
  <conditionalFormatting sqref="A10:BC109">
    <cfRule type="expression" dxfId="2" priority="2">
      <formula>$AZ10="NG"</formula>
    </cfRule>
    <cfRule type="expression" dxfId="1" priority="3">
      <formula>AND($AV10="対応不要",$AZ10="OK")</formula>
    </cfRule>
    <cfRule type="expression" dxfId="0" priority="4">
      <formula>AND($AV10="完了",$AZ10="OK")</formula>
    </cfRule>
  </conditionalFormatting>
  <dataValidations count="4">
    <dataValidation type="list" allowBlank="1" showInputMessage="1" showErrorMessage="1" sqref="AV10:AY109" xr:uid="{00000000-0002-0000-0100-000000000000}">
      <formula1>"着手中,完了,対応不要"</formula1>
      <formula2>0</formula2>
    </dataValidation>
    <dataValidation type="list" allowBlank="1" showInputMessage="1" showErrorMessage="1" sqref="AZ10:BC109" xr:uid="{00000000-0002-0000-0100-000001000000}">
      <formula1>",OK,NG"</formula1>
      <formula2>0</formula2>
    </dataValidation>
    <dataValidation type="list" allowBlank="1" showInputMessage="1" showErrorMessage="1" sqref="AY7:BC8" xr:uid="{00000000-0002-0000-0100-000002000000}">
      <formula1>"要（書面）,要（対面）,不要"</formula1>
      <formula2>0</formula2>
    </dataValidation>
    <dataValidation type="list" allowBlank="1" showInputMessage="1" showErrorMessage="1" sqref="AT6:AX6" xr:uid="{000F9A0D-E3DE-440E-9A6F-CF80CAAB6BC7}">
      <formula1>"書面,対面"</formula1>
      <formula2>0</formula2>
    </dataValidation>
  </dataValidations>
  <pageMargins left="0.23611111111111099" right="0.23611111111111099" top="0.74791666666666701" bottom="0.74791666666666701" header="0.511811023622047" footer="0.511811023622047"/>
  <pageSetup paperSize="9" scale="50" orientation="landscape" horizontalDpi="300" verticalDpi="300" r:id="rId1"/>
  <rowBreaks count="1" manualBreakCount="1">
    <brk id="39" max="16383" man="1"/>
  </rowBreaks>
  <drawing r:id="rId2"/>
</worksheet>
</file>

<file path=docProps/app.xml><?xml version="1.0" encoding="utf-8"?>
<Properties xmlns="http://schemas.openxmlformats.org/officeDocument/2006/extended-properties" xmlns:vt="http://schemas.openxmlformats.org/officeDocument/2006/docPropsVTypes">
  <Template/>
  <TotalTime>165</TotalTime>
  <Application>Microsoft Excel</Application>
  <DocSecurity>0</DocSecurity>
  <ScaleCrop>false</ScaleCrop>
  <HeadingPairs>
    <vt:vector size="4" baseType="variant">
      <vt:variant>
        <vt:lpstr>ワークシート</vt:lpstr>
      </vt:variant>
      <vt:variant>
        <vt:i4>2</vt:i4>
      </vt:variant>
      <vt:variant>
        <vt:lpstr>名前付き一覧</vt:lpstr>
      </vt:variant>
      <vt:variant>
        <vt:i4>2</vt:i4>
      </vt:variant>
    </vt:vector>
  </HeadingPairs>
  <TitlesOfParts>
    <vt:vector size="4" baseType="lpstr">
      <vt:lpstr>レビュー前セルフチェック記録表_Task.25</vt:lpstr>
      <vt:lpstr>レビュー記録表_Task.25</vt:lpstr>
      <vt:lpstr>レビュー記録表_Task.25!Print_Area</vt:lpstr>
      <vt:lpstr>レビュー前セルフチェック記録表_Task.25!Print_Area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User</dc:creator>
  <dc:description/>
  <cp:lastModifiedBy>ASK_001</cp:lastModifiedBy>
  <cp:revision>23</cp:revision>
  <cp:lastPrinted>2017-02-20T01:11:22Z</cp:lastPrinted>
  <dcterms:created xsi:type="dcterms:W3CDTF">2015-06-09T05:01:32Z</dcterms:created>
  <dcterms:modified xsi:type="dcterms:W3CDTF">2025-09-22T08:01:45Z</dcterms:modified>
  <dc:language>ja-JP</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