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SK_001\Desktop\"/>
    </mc:Choice>
  </mc:AlternateContent>
  <xr:revisionPtr revIDLastSave="0" documentId="13_ncr:1_{1F7AFA31-E30C-47FB-BC6A-341428C655C6}" xr6:coauthVersionLast="36" xr6:coauthVersionMax="47" xr10:uidLastSave="{00000000-0000-0000-0000-000000000000}"/>
  <bookViews>
    <workbookView xWindow="1155" yWindow="1155" windowWidth="20010" windowHeight="10890" tabRatio="500" xr2:uid="{00000000-000D-0000-FFFF-FFFF00000000}"/>
  </bookViews>
  <sheets>
    <sheet name="レビュー前セルフチェック記録表_Task.●●" sheetId="1" r:id="rId1"/>
    <sheet name="レビュー記録表_Task.●●" sheetId="2" r:id="rId2"/>
  </sheets>
  <definedNames>
    <definedName name="_xlnm.Print_Area" localSheetId="1">レビュー記録表_Task.●●!$A$1:$BC$109</definedName>
    <definedName name="_xlnm.Print_Area" localSheetId="0">レビュー前セルフチェック記録表_Task.●●!$A$1:$BC$35</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R3" i="1" l="1"/>
  <c r="S6" i="2" l="1"/>
  <c r="E6" i="2"/>
  <c r="A34" i="1"/>
  <c r="A35" i="1" s="1"/>
  <c r="A32" i="1"/>
  <c r="A28" i="1"/>
  <c r="A29" i="1" s="1"/>
  <c r="A25" i="1"/>
  <c r="A24" i="1"/>
  <c r="A23" i="1"/>
  <c r="A22" i="1"/>
  <c r="A21" i="1"/>
  <c r="A20" i="1"/>
  <c r="A19" i="1"/>
  <c r="A18" i="1"/>
  <c r="A17" i="1"/>
  <c r="A16" i="1"/>
  <c r="A15" i="1"/>
  <c r="A14" i="1"/>
  <c r="A13" i="1"/>
  <c r="A12" i="1"/>
  <c r="A45" i="2"/>
  <c r="A50" i="2"/>
  <c r="A55" i="2"/>
  <c r="A60" i="2"/>
  <c r="A65" i="2"/>
  <c r="A70" i="2"/>
  <c r="A75" i="2"/>
  <c r="A80" i="2"/>
  <c r="A85" i="2"/>
  <c r="A90" i="2"/>
  <c r="A95" i="2"/>
  <c r="A100" i="2" s="1"/>
  <c r="A105" i="2"/>
  <c r="R3" i="2" l="1"/>
</calcChain>
</file>

<file path=xl/sharedStrings.xml><?xml version="1.0" encoding="utf-8"?>
<sst xmlns="http://schemas.openxmlformats.org/spreadsheetml/2006/main" count="90" uniqueCount="62">
  <si>
    <t>プロジェクト名</t>
  </si>
  <si>
    <t>システム名</t>
  </si>
  <si>
    <t>レビュー前セルフチェック表</t>
  </si>
  <si>
    <t>作成者</t>
  </si>
  <si>
    <t>作成日</t>
  </si>
  <si>
    <t>更新者</t>
  </si>
  <si>
    <t>更新日</t>
  </si>
  <si>
    <t>体験型Java研修</t>
  </si>
  <si>
    <t>LMS学習管理システム</t>
  </si>
  <si>
    <t>成果物</t>
  </si>
  <si>
    <t>機能名</t>
  </si>
  <si>
    <t>確認日時</t>
  </si>
  <si>
    <t>確認日(TL)</t>
  </si>
  <si>
    <t>確認者</t>
  </si>
  <si>
    <t>確認者(TL)</t>
  </si>
  <si>
    <t>判定</t>
  </si>
  <si>
    <t>分類：共通</t>
  </si>
  <si>
    <t>No</t>
  </si>
  <si>
    <t>確認内容</t>
  </si>
  <si>
    <t>確認</t>
  </si>
  <si>
    <t>備考</t>
  </si>
  <si>
    <t>未使用のimport文は削除されていること</t>
  </si>
  <si>
    <t>未使用の変数は削除されていること</t>
  </si>
  <si>
    <t>改修対象のイベント処理が試験対象となっており、改修対象外の項目は試験対象外となっていること。</t>
  </si>
  <si>
    <t>クラスで定義しているメソッドは上から順に、public,protected,privateの順番になっていること</t>
  </si>
  <si>
    <t>インデントがあり、読みやすいコードとなっていること
※Ctrl+shift+Fで自動整形される</t>
  </si>
  <si>
    <t>グローバルなスコープが必要のない変数がグローバル変数で定義されていないこと
※特定の箇所でしか使わない変数は使用する直前で定義されていること</t>
  </si>
  <si>
    <t>ifのネストが深くなっていないこと</t>
  </si>
  <si>
    <t>三項演算子を使った結果、コードが理解しずらいものになっていないこと</t>
  </si>
  <si>
    <t>コメントが必要なコードに（処理が理解しづらいなど）、コメントが記載されていること</t>
  </si>
  <si>
    <t>変数はキャメルケースで定義されていること</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</si>
  <si>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</si>
  <si>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</si>
  <si>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</si>
  <si>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</si>
  <si>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</si>
  <si>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</si>
  <si>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</si>
  <si>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</si>
  <si>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</si>
  <si>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</si>
  <si>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</si>
  <si>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</si>
  <si>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</si>
  <si>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</si>
  <si>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</si>
  <si>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</si>
  <si>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</si>
  <si>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</si>
  <si>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r>
      <t xml:space="preserve">クラスおよびインターフェースのJavaDocコメントが正しく記述されていること（Shift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○○コントローラー試験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t>
    </r>
    <rPh sb="89" eb="91">
      <t>シケン</t>
    </rPh>
    <rPh sb="104" eb="108">
      <t>セイゾウタロウ</t>
    </rPh>
    <rPh sb="122" eb="125">
      <t>サクセイシャ</t>
    </rPh>
    <rPh sb="129" eb="131">
      <t>バンゴウ</t>
    </rPh>
    <rPh sb="136" eb="140">
      <t>シンキサクセイ</t>
    </rPh>
    <rPh sb="142" eb="143">
      <t>ヒト</t>
    </rPh>
    <rPh sb="144" eb="145">
      <t>カ</t>
    </rPh>
    <phoneticPr fontId="7"/>
  </si>
  <si>
    <r>
      <t xml:space="preserve">不要なデバッグ用コンソールログは削除されていること
例）
</t>
    </r>
    <r>
      <rPr>
        <sz val="10"/>
        <color theme="3" tint="0.249977111117893"/>
        <rFont val="ＭＳ Ｐゴシック"/>
        <family val="3"/>
        <charset val="128"/>
      </rPr>
      <t xml:space="preserve">System.out.println(“テストログ１”); </t>
    </r>
    <phoneticPr fontId="7"/>
  </si>
  <si>
    <r>
      <t>修正箇所の先頭に下記を記載されていること 
JAVAの場合：</t>
    </r>
    <r>
      <rPr>
        <sz val="10"/>
        <color theme="3" tint="0.249977111117893"/>
        <rFont val="ＭＳ Ｐゴシック"/>
        <family val="3"/>
        <charset val="128"/>
      </rPr>
      <t>// 製造太郎 – Task.○○　　　　　　　　　　　　　</t>
    </r>
    <r>
      <rPr>
        <sz val="10"/>
        <color rgb="FFFF0000"/>
        <rFont val="ＭＳ Ｐゴシック"/>
        <family val="3"/>
        <charset val="128"/>
      </rPr>
      <t>←　単一行コメント</t>
    </r>
    <r>
      <rPr>
        <sz val="10"/>
        <color rgb="FF000000"/>
        <rFont val="ＭＳ Ｐゴシック"/>
        <family val="2"/>
        <charset val="128"/>
      </rPr>
      <t xml:space="preserve">
HTMLまたはXMLの場合：</t>
    </r>
    <r>
      <rPr>
        <sz val="10"/>
        <color theme="3" tint="0.249977111117893"/>
        <rFont val="ＭＳ Ｐゴシック"/>
        <family val="3"/>
        <charset val="128"/>
      </rPr>
      <t>&lt;!-- 製造太郎 – Task.○○ –-&gt;</t>
    </r>
    <r>
      <rPr>
        <sz val="10"/>
        <color rgb="FF000000"/>
        <rFont val="ＭＳ Ｐゴシック"/>
        <family val="2"/>
        <charset val="128"/>
      </rPr>
      <t xml:space="preserve">
CSSの場合：</t>
    </r>
    <r>
      <rPr>
        <sz val="10"/>
        <color theme="3" tint="0.249977111117893"/>
        <rFont val="ＭＳ Ｐゴシック"/>
        <family val="3"/>
        <charset val="128"/>
      </rPr>
      <t>/* 製造太郎 – Task.○○ -*/</t>
    </r>
    <r>
      <rPr>
        <sz val="10"/>
        <color rgb="FF000000"/>
        <rFont val="ＭＳ Ｐゴシック"/>
        <family val="2"/>
        <charset val="128"/>
      </rPr>
      <t xml:space="preserve">
※ファイルに合わせたコメント形式で記述すること</t>
    </r>
    <rPh sb="33" eb="35">
      <t>セイゾウ</t>
    </rPh>
    <rPh sb="35" eb="37">
      <t>タロウ</t>
    </rPh>
    <rPh sb="62" eb="65">
      <t>タンイツギョウ</t>
    </rPh>
    <rPh sb="151" eb="153">
      <t>ケイシキ</t>
    </rPh>
    <rPh sb="154" eb="156">
      <t>キジュツ</t>
    </rPh>
    <phoneticPr fontId="7"/>
  </si>
  <si>
    <t>分類：ソースコードのCommit&amp;Push</t>
    <phoneticPr fontId="7"/>
  </si>
  <si>
    <t>コミット時のコメントが「接頭辞：担当者 Ｔａｓｋ.○○ 変更内容」（改行なし）の形式で記載されていること</t>
    <rPh sb="4" eb="5">
      <t>ジ</t>
    </rPh>
    <rPh sb="34" eb="36">
      <t>カイギョウ</t>
    </rPh>
    <rPh sb="40" eb="42">
      <t>ケイシキ</t>
    </rPh>
    <phoneticPr fontId="7"/>
  </si>
  <si>
    <t>書面</t>
  </si>
  <si>
    <t>PL○○</t>
    <phoneticPr fontId="7"/>
  </si>
  <si>
    <t>OK</t>
  </si>
  <si>
    <t>不要</t>
  </si>
  <si>
    <t>Task.25,未入力勤怠確認画面の新作成</t>
    <rPh sb="8" eb="11">
      <t>ミニュウリョク</t>
    </rPh>
    <rPh sb="11" eb="13">
      <t>キンタイ</t>
    </rPh>
    <rPh sb="13" eb="15">
      <t>カクニン</t>
    </rPh>
    <rPh sb="15" eb="17">
      <t>ガメン</t>
    </rPh>
    <rPh sb="18" eb="19">
      <t>シン</t>
    </rPh>
    <rPh sb="19" eb="21">
      <t>サクセイ</t>
    </rPh>
    <phoneticPr fontId="7"/>
  </si>
  <si>
    <t>田中</t>
    <rPh sb="0" eb="2">
      <t>タナカ</t>
    </rPh>
    <phoneticPr fontId="7"/>
  </si>
  <si>
    <t>AttendanceController.java
AttendanceServise.java
AttendanceMapper.XML</t>
    <phoneticPr fontId="7"/>
  </si>
  <si>
    <t>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</si>
</sst>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13" x14ac:knownFonts="1">
    <font>
      <sz val="11"/>
      <color rgb="FF000000"/>
      <name val="ＭＳ Ｐゴシック"/>
      <family val="2"/>
      <charset val="128"/>
    </font>
    <font>
      <sz val="11"/>
      <name val="ＭＳ Ｐゴシック"/>
      <family val="3"/>
      <charset val="128"/>
    </font>
    <font>
      <sz val="12"/>
      <name val="ＭＳ Ｐゴシック"/>
      <family val="3"/>
      <charset val="128"/>
    </font>
    <font>
      <sz val="11"/>
      <color rgb="FF000000"/>
      <name val="ＭＳ Ｐゴシック"/>
      <family val="3"/>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6"/>
      <name val="ＭＳ Ｐゴシック"/>
      <family val="2"/>
      <charset val="128"/>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sz val="10"/>
      <color theme="3" tint="0.499984740745262"/>
      <name val="ＭＳ Ｐゴシック"/>
      <family val="3"/>
      <charset val="128"/>
    </font>
    <font>
      <sz val="10"/>
      <color theme="3" tint="0.249977111117893"/>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30">
    <xf numFmtId="0" fontId="0" fillId="0" borderId="0" xfId="0">
      <alignment vertical="center"/>
    </xf>
    <xf numFmtId="0" fontId="0" fillId="4" borderId="13" xfId="0" applyFill="1" applyBorder="1" applyAlignment="1">
      <alignment horizontal="center" vertical="center"/>
    </xf>
    <xf numFmtId="0" fontId="5" fillId="0" borderId="13" xfId="0" applyFont="1" applyBorder="1" applyAlignment="1">
      <alignment horizontal="left" vertical="top" wrapText="1"/>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8" fillId="0" borderId="13" xfId="0" applyFont="1" applyBorder="1" applyAlignment="1">
      <alignment horizontal="left" vertical="top" wrapText="1"/>
    </xf>
    <xf numFmtId="0" fontId="4" fillId="3" borderId="13" xfId="0" applyFont="1" applyFill="1" applyBorder="1" applyAlignment="1">
      <alignment horizontal="center" vertical="center"/>
    </xf>
    <xf numFmtId="0" fontId="6" fillId="0" borderId="13" xfId="0" applyFont="1" applyBorder="1" applyAlignment="1">
      <alignment horizontal="left" vertical="top" wrapText="1"/>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1" fillId="2" borderId="1" xfId="2" applyFill="1" applyBorder="1" applyAlignment="1">
      <alignment horizontal="center" vertical="center"/>
    </xf>
    <xf numFmtId="0" fontId="1" fillId="2" borderId="2"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4" xfId="2" applyFill="1" applyBorder="1" applyAlignment="1">
      <alignment horizontal="center" vertical="center"/>
    </xf>
    <xf numFmtId="0" fontId="1" fillId="2" borderId="5" xfId="2" applyFill="1" applyBorder="1" applyAlignment="1">
      <alignment horizontal="center" vertical="center"/>
    </xf>
    <xf numFmtId="0" fontId="1" fillId="2" borderId="6" xfId="2" applyFill="1" applyBorder="1" applyAlignment="1">
      <alignment horizontal="center" vertical="center"/>
    </xf>
    <xf numFmtId="0" fontId="3" fillId="0" borderId="7" xfId="2" applyFont="1" applyBorder="1" applyAlignment="1">
      <alignment horizontal="center" vertical="center" wrapText="1"/>
    </xf>
    <xf numFmtId="0" fontId="1" fillId="0" borderId="8" xfId="2" applyBorder="1" applyAlignment="1">
      <alignment horizontal="center" vertical="center" wrapText="1"/>
    </xf>
    <xf numFmtId="0" fontId="2" fillId="0" borderId="9" xfId="2" applyFont="1" applyBorder="1" applyAlignment="1">
      <alignment horizontal="center" vertical="center"/>
    </xf>
    <xf numFmtId="0" fontId="0" fillId="0" borderId="10" xfId="2" applyFont="1" applyBorder="1" applyAlignment="1">
      <alignment horizontal="center" vertical="center"/>
    </xf>
    <xf numFmtId="176" fontId="1" fillId="0" borderId="11" xfId="2" applyNumberFormat="1" applyBorder="1" applyAlignment="1">
      <alignment horizontal="center" vertical="center"/>
    </xf>
    <xf numFmtId="0" fontId="0" fillId="0" borderId="11" xfId="2" applyFont="1" applyBorder="1" applyAlignment="1">
      <alignment horizontal="center" vertical="center"/>
    </xf>
    <xf numFmtId="176" fontId="1" fillId="0" borderId="12" xfId="2" applyNumberFormat="1" applyBorder="1" applyAlignment="1">
      <alignment horizontal="center" vertical="center"/>
    </xf>
    <xf numFmtId="0" fontId="0" fillId="0" borderId="13" xfId="0" applyBorder="1" applyAlignment="1">
      <alignment vertical="center" wrapText="1"/>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xf numFmtId="0" fontId="2" fillId="0" borderId="3" xfId="2" applyFont="1" applyBorder="1" applyAlignment="1">
      <alignment horizontal="center" vertical="center" wrapText="1"/>
    </xf>
    <xf numFmtId="0" fontId="0" fillId="0" borderId="7" xfId="2" applyFont="1" applyBorder="1" applyAlignment="1">
      <alignment horizontal="center" vertical="center" wrapText="1"/>
    </xf>
  </cellXfs>
  <cellStyles count="3">
    <cellStyle name="標準" xfId="0" builtinId="0"/>
    <cellStyle name="標準 2 2" xfId="1" xr:uid="{00000000-0005-0000-0000-000006000000}"/>
    <cellStyle name="標準_開発計画_110720_v11" xfId="2" xr:uid="{00000000-0005-0000-0000-000007000000}"/>
  </cellStyles>
  <dxfs count="56">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56</xdr:col>
      <xdr:colOff>160020</xdr:colOff>
      <xdr:row>11</xdr:row>
      <xdr:rowOff>124320</xdr:rowOff>
    </xdr:from>
    <xdr:to>
      <xdr:col>97</xdr:col>
      <xdr:colOff>91980</xdr:colOff>
      <xdr:row>18</xdr:row>
      <xdr:rowOff>6420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01300" y="1968360"/>
          <a:ext cx="7430040" cy="25795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57</xdr:col>
      <xdr:colOff>15240</xdr:colOff>
      <xdr:row>9</xdr:row>
      <xdr:rowOff>111960</xdr:rowOff>
    </xdr:from>
    <xdr:to>
      <xdr:col>83</xdr:col>
      <xdr:colOff>91920</xdr:colOff>
      <xdr:row>26</xdr:row>
      <xdr:rowOff>48360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439400" y="1613100"/>
          <a:ext cx="4831560" cy="27862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5"/>
  <sheetViews>
    <sheetView showGridLines="0" tabSelected="1" view="pageBreakPreview" topLeftCell="A19" zoomScaleNormal="100" workbookViewId="0">
      <selection activeCell="AJ34" sqref="AJ34:AM34"/>
    </sheetView>
  </sheetViews>
  <sheetFormatPr defaultColWidth="2.625" defaultRowHeight="13.5" x14ac:dyDescent="0.15"/>
  <sheetData>
    <row r="1" spans="1:55" ht="13.5" customHeight="1" x14ac:dyDescent="0.15"/>
    <row r="2" spans="1:55" ht="13.5" customHeight="1" x14ac:dyDescent="0.15">
      <c r="A2" s="12" t="s">
        <v>0</v>
      </c>
      <c r="B2" s="12"/>
      <c r="C2" s="12"/>
      <c r="D2" s="12"/>
      <c r="E2" s="12"/>
      <c r="F2" s="12"/>
      <c r="G2" s="12"/>
      <c r="H2" s="12"/>
      <c r="I2" s="12"/>
      <c r="J2" s="13" t="s">
        <v>1</v>
      </c>
      <c r="K2" s="13"/>
      <c r="L2" s="13"/>
      <c r="M2" s="13"/>
      <c r="N2" s="13"/>
      <c r="O2" s="13"/>
      <c r="P2" s="13"/>
      <c r="Q2" s="13"/>
      <c r="R2" s="14" t="s">
        <v>2</v>
      </c>
      <c r="S2" s="14"/>
      <c r="T2" s="14"/>
      <c r="U2" s="14"/>
      <c r="V2" s="14"/>
      <c r="W2" s="14"/>
      <c r="X2" s="14"/>
      <c r="Y2" s="14"/>
      <c r="Z2" s="14"/>
      <c r="AA2" s="14"/>
      <c r="AB2" s="14"/>
      <c r="AC2" s="14"/>
      <c r="AD2" s="14"/>
      <c r="AE2" s="14"/>
      <c r="AF2" s="14"/>
      <c r="AG2" s="14"/>
      <c r="AH2" s="14"/>
      <c r="AI2" s="14"/>
      <c r="AJ2" s="15" t="s">
        <v>3</v>
      </c>
      <c r="AK2" s="15"/>
      <c r="AL2" s="15"/>
      <c r="AM2" s="15"/>
      <c r="AN2" s="15"/>
      <c r="AO2" s="16" t="s">
        <v>4</v>
      </c>
      <c r="AP2" s="16"/>
      <c r="AQ2" s="16"/>
      <c r="AR2" s="16"/>
      <c r="AS2" s="16"/>
      <c r="AT2" s="16" t="s">
        <v>5</v>
      </c>
      <c r="AU2" s="16"/>
      <c r="AV2" s="16"/>
      <c r="AW2" s="16"/>
      <c r="AX2" s="16"/>
      <c r="AY2" s="17" t="s">
        <v>6</v>
      </c>
      <c r="AZ2" s="17"/>
      <c r="BA2" s="17"/>
      <c r="BB2" s="17"/>
      <c r="BC2" s="17"/>
    </row>
    <row r="3" spans="1:55" ht="13.5" customHeight="1" x14ac:dyDescent="0.15">
      <c r="A3" s="18" t="s">
        <v>7</v>
      </c>
      <c r="B3" s="18"/>
      <c r="C3" s="18"/>
      <c r="D3" s="18"/>
      <c r="E3" s="18"/>
      <c r="F3" s="18"/>
      <c r="G3" s="18"/>
      <c r="H3" s="18"/>
      <c r="I3" s="18"/>
      <c r="J3" s="19" t="s">
        <v>8</v>
      </c>
      <c r="K3" s="19"/>
      <c r="L3" s="19"/>
      <c r="M3" s="19"/>
      <c r="N3" s="19"/>
      <c r="O3" s="19"/>
      <c r="P3" s="19"/>
      <c r="Q3" s="19"/>
      <c r="R3" s="20" t="str">
        <f>" "&amp;S6</f>
        <v xml:space="preserve"> Task.25,未入力勤怠確認画面の新作成</v>
      </c>
      <c r="S3" s="20"/>
      <c r="T3" s="20"/>
      <c r="U3" s="20"/>
      <c r="V3" s="20"/>
      <c r="W3" s="20"/>
      <c r="X3" s="20"/>
      <c r="Y3" s="20"/>
      <c r="Z3" s="20"/>
      <c r="AA3" s="20"/>
      <c r="AB3" s="20"/>
      <c r="AC3" s="20"/>
      <c r="AD3" s="20"/>
      <c r="AE3" s="20"/>
      <c r="AF3" s="20"/>
      <c r="AG3" s="20"/>
      <c r="AH3" s="20"/>
      <c r="AI3" s="20"/>
      <c r="AJ3" s="21" t="s">
        <v>59</v>
      </c>
      <c r="AK3" s="21"/>
      <c r="AL3" s="21"/>
      <c r="AM3" s="21"/>
      <c r="AN3" s="21"/>
      <c r="AO3" s="22">
        <v>45922</v>
      </c>
      <c r="AP3" s="22"/>
      <c r="AQ3" s="22"/>
      <c r="AR3" s="22"/>
      <c r="AS3" s="22"/>
      <c r="AT3" s="23"/>
      <c r="AU3" s="23"/>
      <c r="AV3" s="23"/>
      <c r="AW3" s="23"/>
      <c r="AX3" s="23"/>
      <c r="AY3" s="24"/>
      <c r="AZ3" s="24"/>
      <c r="BA3" s="24"/>
      <c r="BB3" s="24"/>
      <c r="BC3" s="24"/>
    </row>
    <row r="4" spans="1:55" ht="13.5" customHeight="1" x14ac:dyDescent="0.15">
      <c r="A4" s="18"/>
      <c r="B4" s="18"/>
      <c r="C4" s="18"/>
      <c r="D4" s="18"/>
      <c r="E4" s="18"/>
      <c r="F4" s="18"/>
      <c r="G4" s="18"/>
      <c r="H4" s="18"/>
      <c r="I4" s="18"/>
      <c r="J4" s="19"/>
      <c r="K4" s="19"/>
      <c r="L4" s="19"/>
      <c r="M4" s="19"/>
      <c r="N4" s="19"/>
      <c r="O4" s="19"/>
      <c r="P4" s="19"/>
      <c r="Q4" s="19"/>
      <c r="R4" s="20"/>
      <c r="S4" s="20"/>
      <c r="T4" s="20"/>
      <c r="U4" s="20"/>
      <c r="V4" s="20"/>
      <c r="W4" s="20"/>
      <c r="X4" s="20"/>
      <c r="Y4" s="20"/>
      <c r="Z4" s="20"/>
      <c r="AA4" s="20"/>
      <c r="AB4" s="20"/>
      <c r="AC4" s="20"/>
      <c r="AD4" s="20"/>
      <c r="AE4" s="20"/>
      <c r="AF4" s="20"/>
      <c r="AG4" s="20"/>
      <c r="AH4" s="20"/>
      <c r="AI4" s="20"/>
      <c r="AJ4" s="21"/>
      <c r="AK4" s="21"/>
      <c r="AL4" s="21"/>
      <c r="AM4" s="21"/>
      <c r="AN4" s="21"/>
      <c r="AO4" s="22"/>
      <c r="AP4" s="22"/>
      <c r="AQ4" s="22"/>
      <c r="AR4" s="22"/>
      <c r="AS4" s="22"/>
      <c r="AT4" s="23"/>
      <c r="AU4" s="23"/>
      <c r="AV4" s="23"/>
      <c r="AW4" s="23"/>
      <c r="AX4" s="23"/>
      <c r="AY4" s="24"/>
      <c r="AZ4" s="24"/>
      <c r="BA4" s="24"/>
      <c r="BB4" s="24"/>
      <c r="BC4" s="24"/>
    </row>
    <row r="6" spans="1:55" ht="13.5" customHeight="1" x14ac:dyDescent="0.15">
      <c r="A6" s="6" t="s">
        <v>9</v>
      </c>
      <c r="B6" s="6"/>
      <c r="C6" s="6"/>
      <c r="D6" s="6"/>
      <c r="E6" s="25" t="s">
        <v>60</v>
      </c>
      <c r="F6" s="8"/>
      <c r="G6" s="8"/>
      <c r="H6" s="8"/>
      <c r="I6" s="8"/>
      <c r="J6" s="8"/>
      <c r="K6" s="8"/>
      <c r="L6" s="8"/>
      <c r="M6" s="8"/>
      <c r="N6" s="8"/>
      <c r="O6" s="6" t="s">
        <v>10</v>
      </c>
      <c r="P6" s="6"/>
      <c r="Q6" s="6"/>
      <c r="R6" s="6"/>
      <c r="S6" s="8" t="s">
        <v>58</v>
      </c>
      <c r="T6" s="8"/>
      <c r="U6" s="8"/>
      <c r="V6" s="8"/>
      <c r="W6" s="8"/>
      <c r="X6" s="8"/>
      <c r="Y6" s="8"/>
      <c r="Z6" s="8"/>
      <c r="AA6" s="8"/>
      <c r="AB6" s="8"/>
      <c r="AC6" s="6" t="s">
        <v>11</v>
      </c>
      <c r="AD6" s="6"/>
      <c r="AE6" s="6"/>
      <c r="AF6" s="6"/>
      <c r="AG6" s="6"/>
      <c r="AH6" s="6"/>
      <c r="AI6" s="9"/>
      <c r="AJ6" s="9"/>
      <c r="AK6" s="9"/>
      <c r="AL6" s="9"/>
      <c r="AM6" s="9"/>
      <c r="AN6" s="6" t="s">
        <v>12</v>
      </c>
      <c r="AO6" s="6"/>
      <c r="AP6" s="6"/>
      <c r="AQ6" s="6"/>
      <c r="AR6" s="6"/>
      <c r="AS6" s="6"/>
      <c r="AT6" s="10"/>
      <c r="AU6" s="10"/>
      <c r="AV6" s="10"/>
      <c r="AW6" s="10"/>
      <c r="AX6" s="10"/>
    </row>
    <row r="7" spans="1:55" ht="13.5" customHeight="1" x14ac:dyDescent="0.15">
      <c r="A7" s="6"/>
      <c r="B7" s="6"/>
      <c r="C7" s="6"/>
      <c r="D7" s="6"/>
      <c r="E7" s="8"/>
      <c r="F7" s="8"/>
      <c r="G7" s="8"/>
      <c r="H7" s="8"/>
      <c r="I7" s="8"/>
      <c r="J7" s="8"/>
      <c r="K7" s="8"/>
      <c r="L7" s="8"/>
      <c r="M7" s="8"/>
      <c r="N7" s="8"/>
      <c r="O7" s="6"/>
      <c r="P7" s="6"/>
      <c r="Q7" s="6"/>
      <c r="R7" s="6"/>
      <c r="S7" s="8"/>
      <c r="T7" s="8"/>
      <c r="U7" s="8"/>
      <c r="V7" s="8"/>
      <c r="W7" s="8"/>
      <c r="X7" s="8"/>
      <c r="Y7" s="8"/>
      <c r="Z7" s="8"/>
      <c r="AA7" s="8"/>
      <c r="AB7" s="8"/>
      <c r="AC7" s="6" t="s">
        <v>13</v>
      </c>
      <c r="AD7" s="6"/>
      <c r="AE7" s="6"/>
      <c r="AF7" s="6"/>
      <c r="AG7" s="6"/>
      <c r="AH7" s="6"/>
      <c r="AI7" s="11"/>
      <c r="AJ7" s="11"/>
      <c r="AK7" s="11"/>
      <c r="AL7" s="11"/>
      <c r="AM7" s="11"/>
      <c r="AN7" s="6" t="s">
        <v>14</v>
      </c>
      <c r="AO7" s="6"/>
      <c r="AP7" s="6"/>
      <c r="AQ7" s="6"/>
      <c r="AR7" s="6"/>
      <c r="AS7" s="6"/>
      <c r="AT7" s="11"/>
      <c r="AU7" s="11"/>
      <c r="AV7" s="11"/>
      <c r="AW7" s="11"/>
      <c r="AX7" s="11"/>
    </row>
    <row r="8" spans="1:55" ht="13.5" customHeight="1" x14ac:dyDescent="0.15">
      <c r="A8" s="6"/>
      <c r="B8" s="6"/>
      <c r="C8" s="6"/>
      <c r="D8" s="6"/>
      <c r="E8" s="8"/>
      <c r="F8" s="8"/>
      <c r="G8" s="8"/>
      <c r="H8" s="8"/>
      <c r="I8" s="8"/>
      <c r="J8" s="8"/>
      <c r="K8" s="8"/>
      <c r="L8" s="8"/>
      <c r="M8" s="8"/>
      <c r="N8" s="8"/>
      <c r="O8" s="6"/>
      <c r="P8" s="6"/>
      <c r="Q8" s="6"/>
      <c r="R8" s="6"/>
      <c r="S8" s="8"/>
      <c r="T8" s="8"/>
      <c r="U8" s="8"/>
      <c r="V8" s="8"/>
      <c r="W8" s="8"/>
      <c r="X8" s="8"/>
      <c r="Y8" s="8"/>
      <c r="Z8" s="8"/>
      <c r="AA8" s="8"/>
      <c r="AB8" s="8"/>
      <c r="AC8" s="6" t="s">
        <v>15</v>
      </c>
      <c r="AD8" s="6"/>
      <c r="AE8" s="6"/>
      <c r="AF8" s="6"/>
      <c r="AG8" s="6"/>
      <c r="AH8" s="6"/>
      <c r="AI8" s="3"/>
      <c r="AJ8" s="3"/>
      <c r="AK8" s="3"/>
      <c r="AL8" s="3"/>
      <c r="AM8" s="3"/>
      <c r="AN8" s="6" t="s">
        <v>15</v>
      </c>
      <c r="AO8" s="6"/>
      <c r="AP8" s="6"/>
      <c r="AQ8" s="6"/>
      <c r="AR8" s="6"/>
      <c r="AS8" s="6"/>
      <c r="AT8" s="3"/>
      <c r="AU8" s="3"/>
      <c r="AV8" s="3"/>
      <c r="AW8" s="3"/>
      <c r="AX8" s="3"/>
    </row>
    <row r="10" spans="1:55" x14ac:dyDescent="0.15">
      <c r="A10" s="4" t="s">
        <v>16</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row>
    <row r="11" spans="1:55" x14ac:dyDescent="0.15">
      <c r="A11" s="6" t="s">
        <v>17</v>
      </c>
      <c r="B11" s="6"/>
      <c r="C11" s="6" t="s">
        <v>18</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t="s">
        <v>19</v>
      </c>
      <c r="AK11" s="6"/>
      <c r="AL11" s="6"/>
      <c r="AM11" s="6"/>
      <c r="AN11" s="6" t="s">
        <v>20</v>
      </c>
      <c r="AO11" s="6"/>
      <c r="AP11" s="6"/>
      <c r="AQ11" s="6"/>
      <c r="AR11" s="6"/>
      <c r="AS11" s="6"/>
      <c r="AT11" s="6"/>
      <c r="AU11" s="6"/>
      <c r="AV11" s="6"/>
      <c r="AW11" s="6"/>
      <c r="AX11" s="6"/>
      <c r="AY11" s="6"/>
      <c r="AZ11" s="6"/>
      <c r="BA11" s="6"/>
      <c r="BB11" s="6"/>
      <c r="BC11" s="6"/>
    </row>
    <row r="12" spans="1:55" ht="12.75" customHeight="1" x14ac:dyDescent="0.15">
      <c r="A12" s="1">
        <f t="shared" ref="A12:A25" si="0">ROW()-11</f>
        <v>1</v>
      </c>
      <c r="B12" s="1"/>
      <c r="C12" s="7" t="s">
        <v>21</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3" t="s">
        <v>56</v>
      </c>
      <c r="AK12" s="3"/>
      <c r="AL12" s="3"/>
      <c r="AM12" s="3"/>
      <c r="AN12" s="2"/>
      <c r="AO12" s="2"/>
      <c r="AP12" s="2"/>
      <c r="AQ12" s="2"/>
      <c r="AR12" s="2"/>
      <c r="AS12" s="2"/>
      <c r="AT12" s="2"/>
      <c r="AU12" s="2"/>
      <c r="AV12" s="2"/>
      <c r="AW12" s="2"/>
      <c r="AX12" s="2"/>
      <c r="AY12" s="2"/>
      <c r="AZ12" s="2"/>
      <c r="BA12" s="2"/>
      <c r="BB12" s="2"/>
      <c r="BC12" s="2"/>
    </row>
    <row r="13" spans="1:55" ht="12.75" customHeight="1" x14ac:dyDescent="0.15">
      <c r="A13" s="1">
        <f t="shared" si="0"/>
        <v>2</v>
      </c>
      <c r="B13" s="1"/>
      <c r="C13" s="2" t="s">
        <v>22</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3" t="s">
        <v>56</v>
      </c>
      <c r="AK13" s="3"/>
      <c r="AL13" s="3"/>
      <c r="AM13" s="3"/>
      <c r="AN13" s="2"/>
      <c r="AO13" s="2"/>
      <c r="AP13" s="2"/>
      <c r="AQ13" s="2"/>
      <c r="AR13" s="2"/>
      <c r="AS13" s="2"/>
      <c r="AT13" s="2"/>
      <c r="AU13" s="2"/>
      <c r="AV13" s="2"/>
      <c r="AW13" s="2"/>
      <c r="AX13" s="2"/>
      <c r="AY13" s="2"/>
      <c r="AZ13" s="2"/>
      <c r="BA13" s="2"/>
      <c r="BB13" s="2"/>
      <c r="BC13" s="2"/>
    </row>
    <row r="14" spans="1:55" ht="94.5" customHeight="1" x14ac:dyDescent="0.15">
      <c r="A14" s="1">
        <f t="shared" si="0"/>
        <v>3</v>
      </c>
      <c r="B14" s="1"/>
      <c r="C14" s="5" t="s">
        <v>49</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3" t="s">
        <v>56</v>
      </c>
      <c r="AK14" s="3"/>
      <c r="AL14" s="3"/>
      <c r="AM14" s="3"/>
      <c r="AN14" s="2"/>
      <c r="AO14" s="2"/>
      <c r="AP14" s="2"/>
      <c r="AQ14" s="2"/>
      <c r="AR14" s="2"/>
      <c r="AS14" s="2"/>
      <c r="AT14" s="2"/>
      <c r="AU14" s="2"/>
      <c r="AV14" s="2"/>
      <c r="AW14" s="2"/>
      <c r="AX14" s="2"/>
      <c r="AY14" s="2"/>
      <c r="AZ14" s="2"/>
      <c r="BA14" s="2"/>
      <c r="BB14" s="2"/>
      <c r="BC14" s="2"/>
    </row>
    <row r="15" spans="1:55" ht="12.75" customHeight="1" x14ac:dyDescent="0.15">
      <c r="A15" s="1">
        <f t="shared" si="0"/>
        <v>4</v>
      </c>
      <c r="B15" s="1"/>
      <c r="C15" s="2" t="s">
        <v>23</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3" t="s">
        <v>56</v>
      </c>
      <c r="AK15" s="3"/>
      <c r="AL15" s="3"/>
      <c r="AM15" s="3"/>
      <c r="AN15" s="2"/>
      <c r="AO15" s="2"/>
      <c r="AP15" s="2"/>
      <c r="AQ15" s="2"/>
      <c r="AR15" s="2"/>
      <c r="AS15" s="2"/>
      <c r="AT15" s="2"/>
      <c r="AU15" s="2"/>
      <c r="AV15" s="2"/>
      <c r="AW15" s="2"/>
      <c r="AX15" s="2"/>
      <c r="AY15" s="2"/>
      <c r="AZ15" s="2"/>
      <c r="BA15" s="2"/>
      <c r="BB15" s="2"/>
      <c r="BC15" s="2"/>
    </row>
    <row r="16" spans="1:55" ht="42" customHeight="1" x14ac:dyDescent="0.15">
      <c r="A16" s="1">
        <f t="shared" si="0"/>
        <v>5</v>
      </c>
      <c r="B16" s="1"/>
      <c r="C16" s="2" t="s">
        <v>50</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3" t="s">
        <v>56</v>
      </c>
      <c r="AK16" s="3"/>
      <c r="AL16" s="3"/>
      <c r="AM16" s="3"/>
      <c r="AN16" s="2"/>
      <c r="AO16" s="2"/>
      <c r="AP16" s="2"/>
      <c r="AQ16" s="2"/>
      <c r="AR16" s="2"/>
      <c r="AS16" s="2"/>
      <c r="AT16" s="2"/>
      <c r="AU16" s="2"/>
      <c r="AV16" s="2"/>
      <c r="AW16" s="2"/>
      <c r="AX16" s="2"/>
      <c r="AY16" s="2"/>
      <c r="AZ16" s="2"/>
      <c r="BA16" s="2"/>
      <c r="BB16" s="2"/>
      <c r="BC16" s="2"/>
    </row>
    <row r="17" spans="1:55" ht="12.75" customHeight="1" x14ac:dyDescent="0.15">
      <c r="A17" s="1">
        <f t="shared" si="0"/>
        <v>6</v>
      </c>
      <c r="B17" s="1"/>
      <c r="C17" s="2" t="s">
        <v>24</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3" t="s">
        <v>57</v>
      </c>
      <c r="AK17" s="3"/>
      <c r="AL17" s="3"/>
      <c r="AM17" s="3"/>
      <c r="AN17" s="2"/>
      <c r="AO17" s="2"/>
      <c r="AP17" s="2"/>
      <c r="AQ17" s="2"/>
      <c r="AR17" s="2"/>
      <c r="AS17" s="2"/>
      <c r="AT17" s="2"/>
      <c r="AU17" s="2"/>
      <c r="AV17" s="2"/>
      <c r="AW17" s="2"/>
      <c r="AX17" s="2"/>
      <c r="AY17" s="2"/>
      <c r="AZ17" s="2"/>
      <c r="BA17" s="2"/>
      <c r="BB17" s="2"/>
      <c r="BC17" s="2"/>
    </row>
    <row r="18" spans="1:55" ht="26.25" customHeight="1" x14ac:dyDescent="0.15">
      <c r="A18" s="1">
        <f t="shared" si="0"/>
        <v>7</v>
      </c>
      <c r="B18" s="1"/>
      <c r="C18" s="2" t="s">
        <v>25</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3" t="s">
        <v>56</v>
      </c>
      <c r="AK18" s="3"/>
      <c r="AL18" s="3"/>
      <c r="AM18" s="3"/>
      <c r="AN18" s="2"/>
      <c r="AO18" s="2"/>
      <c r="AP18" s="2"/>
      <c r="AQ18" s="2"/>
      <c r="AR18" s="2"/>
      <c r="AS18" s="2"/>
      <c r="AT18" s="2"/>
      <c r="AU18" s="2"/>
      <c r="AV18" s="2"/>
      <c r="AW18" s="2"/>
      <c r="AX18" s="2"/>
      <c r="AY18" s="2"/>
      <c r="AZ18" s="2"/>
      <c r="BA18" s="2"/>
      <c r="BB18" s="2"/>
      <c r="BC18" s="2"/>
    </row>
    <row r="19" spans="1:55" ht="23.25" customHeight="1" x14ac:dyDescent="0.15">
      <c r="A19" s="1">
        <f t="shared" si="0"/>
        <v>8</v>
      </c>
      <c r="B19" s="1"/>
      <c r="C19" s="2" t="s">
        <v>26</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3" t="s">
        <v>56</v>
      </c>
      <c r="AK19" s="3"/>
      <c r="AL19" s="3"/>
      <c r="AM19" s="3"/>
      <c r="AN19" s="2"/>
      <c r="AO19" s="2"/>
      <c r="AP19" s="2"/>
      <c r="AQ19" s="2"/>
      <c r="AR19" s="2"/>
      <c r="AS19" s="2"/>
      <c r="AT19" s="2"/>
      <c r="AU19" s="2"/>
      <c r="AV19" s="2"/>
      <c r="AW19" s="2"/>
      <c r="AX19" s="2"/>
      <c r="AY19" s="2"/>
      <c r="AZ19" s="2"/>
      <c r="BA19" s="2"/>
      <c r="BB19" s="2"/>
      <c r="BC19" s="2"/>
    </row>
    <row r="20" spans="1:55" ht="12.75" customHeight="1" x14ac:dyDescent="0.15">
      <c r="A20" s="1">
        <f t="shared" si="0"/>
        <v>9</v>
      </c>
      <c r="B20" s="1"/>
      <c r="C20" s="2" t="s">
        <v>27</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3" t="s">
        <v>56</v>
      </c>
      <c r="AK20" s="3"/>
      <c r="AL20" s="3"/>
      <c r="AM20" s="3"/>
      <c r="AN20" s="2"/>
      <c r="AO20" s="2"/>
      <c r="AP20" s="2"/>
      <c r="AQ20" s="2"/>
      <c r="AR20" s="2"/>
      <c r="AS20" s="2"/>
      <c r="AT20" s="2"/>
      <c r="AU20" s="2"/>
      <c r="AV20" s="2"/>
      <c r="AW20" s="2"/>
      <c r="AX20" s="2"/>
      <c r="AY20" s="2"/>
      <c r="AZ20" s="2"/>
      <c r="BA20" s="2"/>
      <c r="BB20" s="2"/>
      <c r="BC20" s="2"/>
    </row>
    <row r="21" spans="1:55" ht="12.75" customHeight="1" x14ac:dyDescent="0.15">
      <c r="A21" s="1">
        <f t="shared" si="0"/>
        <v>10</v>
      </c>
      <c r="B21" s="1"/>
      <c r="C21" s="2" t="s">
        <v>28</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3" t="s">
        <v>57</v>
      </c>
      <c r="AK21" s="3"/>
      <c r="AL21" s="3"/>
      <c r="AM21" s="3"/>
      <c r="AN21" s="2"/>
      <c r="AO21" s="2"/>
      <c r="AP21" s="2"/>
      <c r="AQ21" s="2"/>
      <c r="AR21" s="2"/>
      <c r="AS21" s="2"/>
      <c r="AT21" s="2"/>
      <c r="AU21" s="2"/>
      <c r="AV21" s="2"/>
      <c r="AW21" s="2"/>
      <c r="AX21" s="2"/>
      <c r="AY21" s="2"/>
      <c r="AZ21" s="2"/>
      <c r="BA21" s="2"/>
      <c r="BB21" s="2"/>
      <c r="BC21" s="2"/>
    </row>
    <row r="22" spans="1:55" ht="12.75" customHeight="1" x14ac:dyDescent="0.15">
      <c r="A22" s="1">
        <f t="shared" si="0"/>
        <v>11</v>
      </c>
      <c r="B22" s="1"/>
      <c r="C22" s="2" t="s">
        <v>29</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3" t="s">
        <v>56</v>
      </c>
      <c r="AK22" s="3"/>
      <c r="AL22" s="3"/>
      <c r="AM22" s="3"/>
      <c r="AN22" s="2"/>
      <c r="AO22" s="2"/>
      <c r="AP22" s="2"/>
      <c r="AQ22" s="2"/>
      <c r="AR22" s="2"/>
      <c r="AS22" s="2"/>
      <c r="AT22" s="2"/>
      <c r="AU22" s="2"/>
      <c r="AV22" s="2"/>
      <c r="AW22" s="2"/>
      <c r="AX22" s="2"/>
      <c r="AY22" s="2"/>
      <c r="AZ22" s="2"/>
      <c r="BA22" s="2"/>
      <c r="BB22" s="2"/>
      <c r="BC22" s="2"/>
    </row>
    <row r="23" spans="1:55" ht="12.75" customHeight="1" x14ac:dyDescent="0.15">
      <c r="A23" s="1">
        <f t="shared" si="0"/>
        <v>12</v>
      </c>
      <c r="B23" s="1"/>
      <c r="C23" s="2" t="s">
        <v>30</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3" t="s">
        <v>56</v>
      </c>
      <c r="AK23" s="3"/>
      <c r="AL23" s="3"/>
      <c r="AM23" s="3"/>
      <c r="AN23" s="2"/>
      <c r="AO23" s="2"/>
      <c r="AP23" s="2"/>
      <c r="AQ23" s="2"/>
      <c r="AR23" s="2"/>
      <c r="AS23" s="2"/>
      <c r="AT23" s="2"/>
      <c r="AU23" s="2"/>
      <c r="AV23" s="2"/>
      <c r="AW23" s="2"/>
      <c r="AX23" s="2"/>
      <c r="AY23" s="2"/>
      <c r="AZ23" s="2"/>
      <c r="BA23" s="2"/>
      <c r="BB23" s="2"/>
      <c r="BC23" s="2"/>
    </row>
    <row r="24" spans="1:55" ht="51.75" customHeight="1" x14ac:dyDescent="0.15">
      <c r="A24" s="1">
        <f t="shared" si="0"/>
        <v>13</v>
      </c>
      <c r="B24" s="1"/>
      <c r="C24" s="2" t="s">
        <v>51</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3" t="s">
        <v>56</v>
      </c>
      <c r="AK24" s="3"/>
      <c r="AL24" s="3"/>
      <c r="AM24" s="3"/>
      <c r="AN24" s="2"/>
      <c r="AO24" s="2"/>
      <c r="AP24" s="2"/>
      <c r="AQ24" s="2"/>
      <c r="AR24" s="2"/>
      <c r="AS24" s="2"/>
      <c r="AT24" s="2"/>
      <c r="AU24" s="2"/>
      <c r="AV24" s="2"/>
      <c r="AW24" s="2"/>
      <c r="AX24" s="2"/>
      <c r="AY24" s="2"/>
      <c r="AZ24" s="2"/>
      <c r="BA24" s="2"/>
      <c r="BB24" s="2"/>
      <c r="BC24" s="2"/>
    </row>
    <row r="25" spans="1:55" ht="12.75" customHeight="1" x14ac:dyDescent="0.15">
      <c r="A25" s="1">
        <f t="shared" si="0"/>
        <v>14</v>
      </c>
      <c r="B25" s="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3"/>
      <c r="AK25" s="3"/>
      <c r="AL25" s="3"/>
      <c r="AM25" s="3"/>
      <c r="AN25" s="2"/>
      <c r="AO25" s="2"/>
      <c r="AP25" s="2"/>
      <c r="AQ25" s="2"/>
      <c r="AR25" s="2"/>
      <c r="AS25" s="2"/>
      <c r="AT25" s="2"/>
      <c r="AU25" s="2"/>
      <c r="AV25" s="2"/>
      <c r="AW25" s="2"/>
      <c r="AX25" s="2"/>
      <c r="AY25" s="2"/>
      <c r="AZ25" s="2"/>
      <c r="BA25" s="2"/>
      <c r="BB25" s="2"/>
      <c r="BC25" s="2"/>
    </row>
    <row r="26" spans="1:55" x14ac:dyDescent="0.15">
      <c r="A26" s="4" t="s">
        <v>52</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row>
    <row r="27" spans="1:55" ht="13.5" customHeight="1" x14ac:dyDescent="0.15">
      <c r="A27" s="1">
        <v>1</v>
      </c>
      <c r="B27" s="1"/>
      <c r="C27" s="2" t="s">
        <v>53</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3" t="s">
        <v>61</v>
      </c>
      <c r="AK27" s="3"/>
      <c r="AL27" s="3"/>
      <c r="AM27" s="3"/>
      <c r="AN27" s="2"/>
      <c r="AO27" s="2"/>
      <c r="AP27" s="2"/>
      <c r="AQ27" s="2"/>
      <c r="AR27" s="2"/>
      <c r="AS27" s="2"/>
      <c r="AT27" s="2"/>
      <c r="AU27" s="2"/>
      <c r="AV27" s="2"/>
      <c r="AW27" s="2"/>
      <c r="AX27" s="2"/>
      <c r="AY27" s="2"/>
      <c r="AZ27" s="2"/>
      <c r="BA27" s="2"/>
      <c r="BB27" s="2"/>
      <c r="BC27" s="2"/>
    </row>
    <row r="28" spans="1:55" x14ac:dyDescent="0.15">
      <c r="A28" s="1">
        <f>A27+1</f>
        <v>2</v>
      </c>
      <c r="B28" s="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3"/>
      <c r="AK28" s="3"/>
      <c r="AL28" s="3"/>
      <c r="AM28" s="3"/>
      <c r="AN28" s="2"/>
      <c r="AO28" s="2"/>
      <c r="AP28" s="2"/>
      <c r="AQ28" s="2"/>
      <c r="AR28" s="2"/>
      <c r="AS28" s="2"/>
      <c r="AT28" s="2"/>
      <c r="AU28" s="2"/>
      <c r="AV28" s="2"/>
      <c r="AW28" s="2"/>
      <c r="AX28" s="2"/>
      <c r="AY28" s="2"/>
      <c r="AZ28" s="2"/>
      <c r="BA28" s="2"/>
      <c r="BB28" s="2"/>
      <c r="BC28" s="2"/>
    </row>
    <row r="29" spans="1:55" x14ac:dyDescent="0.15">
      <c r="A29" s="1">
        <f>A28+1</f>
        <v>3</v>
      </c>
      <c r="B29" s="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3"/>
      <c r="AK29" s="3"/>
      <c r="AL29" s="3"/>
      <c r="AM29" s="3"/>
      <c r="AN29" s="2"/>
      <c r="AO29" s="2"/>
      <c r="AP29" s="2"/>
      <c r="AQ29" s="2"/>
      <c r="AR29" s="2"/>
      <c r="AS29" s="2"/>
      <c r="AT29" s="2"/>
      <c r="AU29" s="2"/>
      <c r="AV29" s="2"/>
      <c r="AW29" s="2"/>
      <c r="AX29" s="2"/>
      <c r="AY29" s="2"/>
      <c r="AZ29" s="2"/>
      <c r="BA29" s="2"/>
      <c r="BB29" s="2"/>
      <c r="BC29" s="2"/>
    </row>
    <row r="30" spans="1:55" x14ac:dyDescent="0.15">
      <c r="A30" s="4" t="s">
        <v>31</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row>
    <row r="31" spans="1:55" ht="39.75" customHeight="1" x14ac:dyDescent="0.15">
      <c r="A31" s="1">
        <v>1</v>
      </c>
      <c r="B31" s="1"/>
      <c r="C31" s="2" t="s">
        <v>32</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3" t="s">
        <v>56</v>
      </c>
      <c r="AK31" s="3"/>
      <c r="AL31" s="3"/>
      <c r="AM31" s="3"/>
      <c r="AN31" s="2"/>
      <c r="AO31" s="2"/>
      <c r="AP31" s="2"/>
      <c r="AQ31" s="2"/>
      <c r="AR31" s="2"/>
      <c r="AS31" s="2"/>
      <c r="AT31" s="2"/>
      <c r="AU31" s="2"/>
      <c r="AV31" s="2"/>
      <c r="AW31" s="2"/>
      <c r="AX31" s="2"/>
      <c r="AY31" s="2"/>
      <c r="AZ31" s="2"/>
      <c r="BA31" s="2"/>
      <c r="BB31" s="2"/>
      <c r="BC31" s="2"/>
    </row>
    <row r="32" spans="1:55" ht="31.5" customHeight="1" x14ac:dyDescent="0.15">
      <c r="A32" s="1">
        <f>A31+1</f>
        <v>2</v>
      </c>
      <c r="B32" s="1"/>
      <c r="C32" s="2" t="s">
        <v>33</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3" t="s">
        <v>56</v>
      </c>
      <c r="AK32" s="3"/>
      <c r="AL32" s="3"/>
      <c r="AM32" s="3"/>
      <c r="AN32" s="2"/>
      <c r="AO32" s="2"/>
      <c r="AP32" s="2"/>
      <c r="AQ32" s="2"/>
      <c r="AR32" s="2"/>
      <c r="AS32" s="2"/>
      <c r="AT32" s="2"/>
      <c r="AU32" s="2"/>
      <c r="AV32" s="2"/>
      <c r="AW32" s="2"/>
      <c r="AX32" s="2"/>
      <c r="AY32" s="2"/>
      <c r="AZ32" s="2"/>
      <c r="BA32" s="2"/>
      <c r="BB32" s="2"/>
      <c r="BC32" s="2"/>
    </row>
    <row r="33" spans="1:55" ht="13.5" customHeight="1" x14ac:dyDescent="0.15">
      <c r="A33" s="1">
        <v>2</v>
      </c>
      <c r="B33" s="1"/>
      <c r="C33" s="2" t="s">
        <v>34</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3" t="s">
        <v>56</v>
      </c>
      <c r="AK33" s="3"/>
      <c r="AL33" s="3"/>
      <c r="AM33" s="3"/>
      <c r="AN33" s="2"/>
      <c r="AO33" s="2"/>
      <c r="AP33" s="2"/>
      <c r="AQ33" s="2"/>
      <c r="AR33" s="2"/>
      <c r="AS33" s="2"/>
      <c r="AT33" s="2"/>
      <c r="AU33" s="2"/>
      <c r="AV33" s="2"/>
      <c r="AW33" s="2"/>
      <c r="AX33" s="2"/>
      <c r="AY33" s="2"/>
      <c r="AZ33" s="2"/>
      <c r="BA33" s="2"/>
      <c r="BB33" s="2"/>
      <c r="BC33" s="2"/>
    </row>
    <row r="34" spans="1:55" ht="13.5" customHeight="1" x14ac:dyDescent="0.15">
      <c r="A34" s="1">
        <f>A32+1</f>
        <v>3</v>
      </c>
      <c r="B34" s="1"/>
      <c r="C34" s="2" t="s">
        <v>35</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3" t="s">
        <v>56</v>
      </c>
      <c r="AK34" s="3"/>
      <c r="AL34" s="3"/>
      <c r="AM34" s="3"/>
      <c r="AN34" s="2"/>
      <c r="AO34" s="2"/>
      <c r="AP34" s="2"/>
      <c r="AQ34" s="2"/>
      <c r="AR34" s="2"/>
      <c r="AS34" s="2"/>
      <c r="AT34" s="2"/>
      <c r="AU34" s="2"/>
      <c r="AV34" s="2"/>
      <c r="AW34" s="2"/>
      <c r="AX34" s="2"/>
      <c r="AY34" s="2"/>
      <c r="AZ34" s="2"/>
      <c r="BA34" s="2"/>
      <c r="BB34" s="2"/>
      <c r="BC34" s="2"/>
    </row>
    <row r="35" spans="1:55" ht="12.75" customHeight="1" x14ac:dyDescent="0.15">
      <c r="A35" s="1">
        <f>A34+1</f>
        <v>4</v>
      </c>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3"/>
      <c r="AK35" s="3"/>
      <c r="AL35" s="3"/>
      <c r="AM35" s="3"/>
      <c r="AN35" s="2"/>
      <c r="AO35" s="2"/>
      <c r="AP35" s="2"/>
      <c r="AQ35" s="2"/>
      <c r="AR35" s="2"/>
      <c r="AS35" s="2"/>
      <c r="AT35" s="2"/>
      <c r="AU35" s="2"/>
      <c r="AV35" s="2"/>
      <c r="AW35" s="2"/>
      <c r="AX35" s="2"/>
      <c r="AY35" s="2"/>
      <c r="AZ35" s="2"/>
      <c r="BA35" s="2"/>
      <c r="BB35" s="2"/>
      <c r="BC35" s="2"/>
    </row>
  </sheetData>
  <mergeCells count="125">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C26"/>
    <mergeCell ref="A27:B27"/>
    <mergeCell ref="C27:AI27"/>
    <mergeCell ref="AJ27:AM27"/>
    <mergeCell ref="AN27:BC27"/>
    <mergeCell ref="A28:B28"/>
    <mergeCell ref="C28:AI28"/>
    <mergeCell ref="AJ28:AM28"/>
    <mergeCell ref="AN28:BC28"/>
    <mergeCell ref="A29:B29"/>
    <mergeCell ref="C29:AI29"/>
    <mergeCell ref="AJ29:AM29"/>
    <mergeCell ref="AN29:BC29"/>
    <mergeCell ref="A30:BC30"/>
    <mergeCell ref="A34:B34"/>
    <mergeCell ref="C34:AI34"/>
    <mergeCell ref="AJ34:AM34"/>
    <mergeCell ref="AN34:BC34"/>
    <mergeCell ref="A35:B35"/>
    <mergeCell ref="C35:AI35"/>
    <mergeCell ref="AJ35:AM35"/>
    <mergeCell ref="AN35:BC35"/>
    <mergeCell ref="A31:B31"/>
    <mergeCell ref="C31:AI31"/>
    <mergeCell ref="AJ31:AM31"/>
    <mergeCell ref="AN31:BC31"/>
    <mergeCell ref="A32:B32"/>
    <mergeCell ref="C32:AI32"/>
    <mergeCell ref="AJ32:AM32"/>
    <mergeCell ref="AN32:BC32"/>
    <mergeCell ref="A33:B33"/>
    <mergeCell ref="C33:AI33"/>
    <mergeCell ref="AJ33:AM33"/>
    <mergeCell ref="AN33:BC33"/>
  </mergeCells>
  <phoneticPr fontId="7"/>
  <conditionalFormatting sqref="A33:B33">
    <cfRule type="expression" dxfId="55" priority="39">
      <formula>AND(#REF!="対応不要",#REF!="OK")</formula>
    </cfRule>
    <cfRule type="expression" dxfId="54" priority="40">
      <formula>AND(#REF!="完了",#REF!="OK")</formula>
    </cfRule>
    <cfRule type="expression" dxfId="53" priority="41">
      <formula>#REF!="NG"</formula>
    </cfRule>
    <cfRule type="expression" dxfId="52" priority="42">
      <formula>AND(#REF!="対応不要",#REF!="OK")</formula>
    </cfRule>
    <cfRule type="expression" dxfId="51" priority="43">
      <formula>AND(#REF!="完了",#REF!="OK")</formula>
    </cfRule>
  </conditionalFormatting>
  <conditionalFormatting sqref="A28:AU29 A31:AU32 A34:AU35">
    <cfRule type="expression" dxfId="50" priority="45">
      <formula>AND(#REF!="対応不要",#REF!="OK")</formula>
    </cfRule>
    <cfRule type="expression" dxfId="49" priority="46">
      <formula>AND(#REF!="完了",#REF!="OK")</formula>
    </cfRule>
  </conditionalFormatting>
  <conditionalFormatting sqref="A28:AU29">
    <cfRule type="expression" dxfId="48" priority="44">
      <formula>#REF!="NG"</formula>
    </cfRule>
  </conditionalFormatting>
  <conditionalFormatting sqref="A31:AU35">
    <cfRule type="expression" dxfId="47" priority="35">
      <formula>#REF!="NG"</formula>
    </cfRule>
  </conditionalFormatting>
  <conditionalFormatting sqref="C33:AI33 AK33:AU33">
    <cfRule type="expression" dxfId="46" priority="29">
      <formula>#REF!="NG"</formula>
    </cfRule>
    <cfRule type="expression" dxfId="45" priority="30">
      <formula>AND(#REF!="対応不要",#REF!="OK")</formula>
    </cfRule>
    <cfRule type="expression" dxfId="44" priority="31">
      <formula>AND(#REF!="完了",#REF!="OK")</formula>
    </cfRule>
  </conditionalFormatting>
  <conditionalFormatting sqref="C33:AU33">
    <cfRule type="expression" dxfId="43" priority="36">
      <formula>AND(#REF!="対応不要",#REF!="OK")</formula>
    </cfRule>
    <cfRule type="expression" dxfId="42" priority="37">
      <formula>AND(#REF!="完了",#REF!="OK")</formula>
    </cfRule>
  </conditionalFormatting>
  <conditionalFormatting sqref="AI8 AT8 A12:AU13 A15:AU15 A14:B14 AJ14:AU14 A17:AU23 A16:B16 AJ16:AU16 A25:AU25 A24:B24 AJ24:AU24">
    <cfRule type="expression" dxfId="41" priority="53">
      <formula>#REF!="NG"</formula>
    </cfRule>
    <cfRule type="expression" dxfId="40" priority="54">
      <formula>AND(#REF!="対応不要",#REF!="OK")</formula>
    </cfRule>
    <cfRule type="expression" dxfId="39" priority="55">
      <formula>AND(#REF!="完了",#REF!="OK")</formula>
    </cfRule>
  </conditionalFormatting>
  <conditionalFormatting sqref="AI8 AT8 AJ12:AJ25">
    <cfRule type="expression" dxfId="38" priority="50">
      <formula>$AZ8="NG"</formula>
    </cfRule>
    <cfRule type="expression" dxfId="37" priority="51">
      <formula>AND($AV8="対応不要",$AZ8="OK")</formula>
    </cfRule>
    <cfRule type="expression" dxfId="36" priority="52">
      <formula>AND($AV8="完了",$AZ8="OK")</formula>
    </cfRule>
  </conditionalFormatting>
  <conditionalFormatting sqref="AJ28:AJ29 AJ31:AJ32 AJ34:AJ35">
    <cfRule type="expression" dxfId="35" priority="47">
      <formula>$AZ28="NG"</formula>
    </cfRule>
    <cfRule type="expression" dxfId="34" priority="48">
      <formula>AND($AV28="対応不要",$AZ28="OK")</formula>
    </cfRule>
    <cfRule type="expression" dxfId="33" priority="49">
      <formula>AND($AV28="完了",$AZ28="OK")</formula>
    </cfRule>
  </conditionalFormatting>
  <conditionalFormatting sqref="AJ33">
    <cfRule type="expression" dxfId="32" priority="32">
      <formula>$AZ33="NG"</formula>
    </cfRule>
    <cfRule type="expression" dxfId="31" priority="33">
      <formula>AND($AV33="対応不要",$AZ33="OK")</formula>
    </cfRule>
    <cfRule type="expression" dxfId="30" priority="34">
      <formula>AND($AV33="完了",$AZ33="OK")</formula>
    </cfRule>
  </conditionalFormatting>
  <conditionalFormatting sqref="C14:AI14">
    <cfRule type="expression" dxfId="29" priority="22">
      <formula>#REF!="NG"</formula>
    </cfRule>
    <cfRule type="expression" dxfId="28" priority="23">
      <formula>AND(#REF!="対応不要",#REF!="OK")</formula>
    </cfRule>
    <cfRule type="expression" dxfId="27" priority="24">
      <formula>AND(#REF!="完了",#REF!="OK")</formula>
    </cfRule>
  </conditionalFormatting>
  <conditionalFormatting sqref="C14:AI14">
    <cfRule type="expression" dxfId="26" priority="25">
      <formula>#REF!="NG"</formula>
    </cfRule>
    <cfRule type="expression" dxfId="25" priority="26">
      <formula>AND(#REF!="対応不要",#REF!="OK")</formula>
    </cfRule>
    <cfRule type="expression" dxfId="24" priority="27">
      <formula>AND(#REF!="完了",#REF!="OK")</formula>
    </cfRule>
  </conditionalFormatting>
  <conditionalFormatting sqref="C16:AI16">
    <cfRule type="expression" dxfId="23" priority="16">
      <formula>#REF!="NG"</formula>
    </cfRule>
    <cfRule type="expression" dxfId="22" priority="17">
      <formula>AND(#REF!="対応不要",#REF!="OK")</formula>
    </cfRule>
    <cfRule type="expression" dxfId="21" priority="18">
      <formula>AND(#REF!="完了",#REF!="OK")</formula>
    </cfRule>
  </conditionalFormatting>
  <conditionalFormatting sqref="C16:AI16">
    <cfRule type="expression" dxfId="20" priority="19">
      <formula>#REF!="NG"</formula>
    </cfRule>
    <cfRule type="expression" dxfId="19" priority="20">
      <formula>AND(#REF!="対応不要",#REF!="OK")</formula>
    </cfRule>
    <cfRule type="expression" dxfId="18" priority="21">
      <formula>AND(#REF!="完了",#REF!="OK")</formula>
    </cfRule>
  </conditionalFormatting>
  <conditionalFormatting sqref="C24:AI24">
    <cfRule type="expression" dxfId="17" priority="10">
      <formula>#REF!="NG"</formula>
    </cfRule>
    <cfRule type="expression" dxfId="16" priority="11">
      <formula>AND(#REF!="対応不要",#REF!="OK")</formula>
    </cfRule>
    <cfRule type="expression" dxfId="15" priority="12">
      <formula>AND(#REF!="完了",#REF!="OK")</formula>
    </cfRule>
  </conditionalFormatting>
  <conditionalFormatting sqref="C24:AI24">
    <cfRule type="expression" dxfId="14" priority="13">
      <formula>#REF!="NG"</formula>
    </cfRule>
    <cfRule type="expression" dxfId="13" priority="14">
      <formula>AND(#REF!="対応不要",#REF!="OK")</formula>
    </cfRule>
    <cfRule type="expression" dxfId="12" priority="15">
      <formula>AND(#REF!="完了",#REF!="OK")</formula>
    </cfRule>
  </conditionalFormatting>
  <conditionalFormatting sqref="A27:AI27 AK27:AU27">
    <cfRule type="expression" dxfId="11" priority="1">
      <formula>#REF!="NG"</formula>
    </cfRule>
    <cfRule type="expression" dxfId="10" priority="2">
      <formula>AND(#REF!="対応不要",#REF!="OK")</formula>
    </cfRule>
    <cfRule type="expression" dxfId="9" priority="3">
      <formula>AND(#REF!="完了",#REF!="OK")</formula>
    </cfRule>
  </conditionalFormatting>
  <conditionalFormatting sqref="A27:AU27">
    <cfRule type="expression" dxfId="8" priority="7">
      <formula>#REF!="NG"</formula>
    </cfRule>
    <cfRule type="expression" dxfId="7" priority="8">
      <formula>AND(#REF!="対応不要",#REF!="OK")</formula>
    </cfRule>
    <cfRule type="expression" dxfId="6" priority="9">
      <formula>AND(#REF!="完了",#REF!="OK")</formula>
    </cfRule>
  </conditionalFormatting>
  <conditionalFormatting sqref="AJ27">
    <cfRule type="expression" dxfId="5" priority="4">
      <formula>$AZ27="NG"</formula>
    </cfRule>
    <cfRule type="expression" dxfId="4" priority="5">
      <formula>AND($AV27="対応不要",$AZ27="OK")</formula>
    </cfRule>
    <cfRule type="expression" dxfId="3" priority="6">
      <formula>AND($AV27="完了",$AZ27="OK")</formula>
    </cfRule>
  </conditionalFormatting>
  <dataValidations count="3">
    <dataValidation type="list" allowBlank="1" showInputMessage="1" showErrorMessage="1" sqref="AU6:AX6" xr:uid="{00000000-0002-0000-0000-000000000000}">
      <formula1>"書面,対面"</formula1>
      <formula2>0</formula2>
    </dataValidation>
    <dataValidation type="list" allowBlank="1" showInputMessage="1" showErrorMessage="1" sqref="AJ12:AJ25 AJ31:AJ35 AJ27:AJ29" xr:uid="{00000000-0002-0000-0000-000001000000}">
      <formula1>",OK,NG,不要"</formula1>
      <formula2>0</formula2>
    </dataValidation>
    <dataValidation type="list" allowBlank="1" showInputMessage="1" showErrorMessage="1" sqref="AI8 AT8" xr:uid="{00000000-0002-0000-0000-000002000000}">
      <formula1>",OK,NG"</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view="pageBreakPreview" zoomScaleNormal="100" workbookViewId="0"/>
  </sheetViews>
  <sheetFormatPr defaultColWidth="2.625" defaultRowHeight="13.5" x14ac:dyDescent="0.15"/>
  <sheetData>
    <row r="1" spans="1:55" ht="13.5" customHeight="1" x14ac:dyDescent="0.15"/>
    <row r="2" spans="1:55" ht="13.5" customHeight="1" x14ac:dyDescent="0.15">
      <c r="A2" s="12" t="s">
        <v>0</v>
      </c>
      <c r="B2" s="12"/>
      <c r="C2" s="12"/>
      <c r="D2" s="12"/>
      <c r="E2" s="12"/>
      <c r="F2" s="12"/>
      <c r="G2" s="12"/>
      <c r="H2" s="12"/>
      <c r="I2" s="12"/>
      <c r="J2" s="13" t="s">
        <v>1</v>
      </c>
      <c r="K2" s="13"/>
      <c r="L2" s="13"/>
      <c r="M2" s="13"/>
      <c r="N2" s="13"/>
      <c r="O2" s="13"/>
      <c r="P2" s="13"/>
      <c r="Q2" s="13"/>
      <c r="R2" s="28" t="s">
        <v>36</v>
      </c>
      <c r="S2" s="28"/>
      <c r="T2" s="28"/>
      <c r="U2" s="28"/>
      <c r="V2" s="28"/>
      <c r="W2" s="28"/>
      <c r="X2" s="28"/>
      <c r="Y2" s="28"/>
      <c r="Z2" s="28"/>
      <c r="AA2" s="28"/>
      <c r="AB2" s="28"/>
      <c r="AC2" s="28"/>
      <c r="AD2" s="28"/>
      <c r="AE2" s="28"/>
      <c r="AF2" s="28"/>
      <c r="AG2" s="28"/>
      <c r="AH2" s="28"/>
      <c r="AI2" s="28"/>
      <c r="AJ2" s="15" t="s">
        <v>3</v>
      </c>
      <c r="AK2" s="15"/>
      <c r="AL2" s="15"/>
      <c r="AM2" s="15"/>
      <c r="AN2" s="15"/>
      <c r="AO2" s="16" t="s">
        <v>4</v>
      </c>
      <c r="AP2" s="16"/>
      <c r="AQ2" s="16"/>
      <c r="AR2" s="16"/>
      <c r="AS2" s="16"/>
      <c r="AT2" s="16" t="s">
        <v>5</v>
      </c>
      <c r="AU2" s="16"/>
      <c r="AV2" s="16"/>
      <c r="AW2" s="16"/>
      <c r="AX2" s="16"/>
      <c r="AY2" s="17" t="s">
        <v>6</v>
      </c>
      <c r="AZ2" s="17"/>
      <c r="BA2" s="17"/>
      <c r="BB2" s="17"/>
      <c r="BC2" s="17"/>
    </row>
    <row r="3" spans="1:55" ht="13.5" customHeight="1" x14ac:dyDescent="0.15">
      <c r="A3" s="29" t="s">
        <v>7</v>
      </c>
      <c r="B3" s="29"/>
      <c r="C3" s="29"/>
      <c r="D3" s="29"/>
      <c r="E3" s="29"/>
      <c r="F3" s="29"/>
      <c r="G3" s="29"/>
      <c r="H3" s="29"/>
      <c r="I3" s="29"/>
      <c r="J3" s="19" t="s">
        <v>8</v>
      </c>
      <c r="K3" s="19"/>
      <c r="L3" s="19"/>
      <c r="M3" s="19"/>
      <c r="N3" s="19"/>
      <c r="O3" s="19"/>
      <c r="P3" s="19"/>
      <c r="Q3" s="19"/>
      <c r="R3" s="20" t="str">
        <f>E6&amp;S6</f>
        <v>AttendanceController.java
AttendanceServise.java
AttendanceMapper.XMLTask.25,未入力勤怠確認画面の新作成</v>
      </c>
      <c r="S3" s="20"/>
      <c r="T3" s="20"/>
      <c r="U3" s="20"/>
      <c r="V3" s="20"/>
      <c r="W3" s="20"/>
      <c r="X3" s="20"/>
      <c r="Y3" s="20"/>
      <c r="Z3" s="20"/>
      <c r="AA3" s="20"/>
      <c r="AB3" s="20"/>
      <c r="AC3" s="20"/>
      <c r="AD3" s="20"/>
      <c r="AE3" s="20"/>
      <c r="AF3" s="20"/>
      <c r="AG3" s="20"/>
      <c r="AH3" s="20"/>
      <c r="AI3" s="20"/>
      <c r="AJ3" s="21"/>
      <c r="AK3" s="21"/>
      <c r="AL3" s="21"/>
      <c r="AM3" s="21"/>
      <c r="AN3" s="21"/>
      <c r="AO3" s="22"/>
      <c r="AP3" s="22"/>
      <c r="AQ3" s="22"/>
      <c r="AR3" s="22"/>
      <c r="AS3" s="22"/>
      <c r="AT3" s="23"/>
      <c r="AU3" s="23"/>
      <c r="AV3" s="23"/>
      <c r="AW3" s="23"/>
      <c r="AX3" s="23"/>
      <c r="AY3" s="24"/>
      <c r="AZ3" s="24"/>
      <c r="BA3" s="24"/>
      <c r="BB3" s="24"/>
      <c r="BC3" s="24"/>
    </row>
    <row r="4" spans="1:55" ht="13.5" customHeight="1" x14ac:dyDescent="0.15">
      <c r="A4" s="29"/>
      <c r="B4" s="29"/>
      <c r="C4" s="29"/>
      <c r="D4" s="29"/>
      <c r="E4" s="29"/>
      <c r="F4" s="29"/>
      <c r="G4" s="29"/>
      <c r="H4" s="29"/>
      <c r="I4" s="29"/>
      <c r="J4" s="19"/>
      <c r="K4" s="19"/>
      <c r="L4" s="19"/>
      <c r="M4" s="19"/>
      <c r="N4" s="19"/>
      <c r="O4" s="19"/>
      <c r="P4" s="19"/>
      <c r="Q4" s="19"/>
      <c r="R4" s="20"/>
      <c r="S4" s="20"/>
      <c r="T4" s="20"/>
      <c r="U4" s="20"/>
      <c r="V4" s="20"/>
      <c r="W4" s="20"/>
      <c r="X4" s="20"/>
      <c r="Y4" s="20"/>
      <c r="Z4" s="20"/>
      <c r="AA4" s="20"/>
      <c r="AB4" s="20"/>
      <c r="AC4" s="20"/>
      <c r="AD4" s="20"/>
      <c r="AE4" s="20"/>
      <c r="AF4" s="20"/>
      <c r="AG4" s="20"/>
      <c r="AH4" s="20"/>
      <c r="AI4" s="20"/>
      <c r="AJ4" s="21"/>
      <c r="AK4" s="21"/>
      <c r="AL4" s="21"/>
      <c r="AM4" s="21"/>
      <c r="AN4" s="21"/>
      <c r="AO4" s="22"/>
      <c r="AP4" s="22"/>
      <c r="AQ4" s="22"/>
      <c r="AR4" s="22"/>
      <c r="AS4" s="22"/>
      <c r="AT4" s="23"/>
      <c r="AU4" s="23"/>
      <c r="AV4" s="23"/>
      <c r="AW4" s="23"/>
      <c r="AX4" s="23"/>
      <c r="AY4" s="24"/>
      <c r="AZ4" s="24"/>
      <c r="BA4" s="24"/>
      <c r="BB4" s="24"/>
      <c r="BC4" s="24"/>
    </row>
    <row r="6" spans="1:55" ht="12.75" customHeight="1" x14ac:dyDescent="0.15">
      <c r="A6" s="6" t="s">
        <v>9</v>
      </c>
      <c r="B6" s="6"/>
      <c r="C6" s="6"/>
      <c r="D6" s="6"/>
      <c r="E6" s="25" t="str">
        <f>レビュー前セルフチェック記録表_Task.●●!E6</f>
        <v>AttendanceController.java
AttendanceServise.java
AttendanceMapper.XML</v>
      </c>
      <c r="F6" s="25"/>
      <c r="G6" s="25"/>
      <c r="H6" s="25"/>
      <c r="I6" s="25"/>
      <c r="J6" s="25"/>
      <c r="K6" s="25"/>
      <c r="L6" s="25"/>
      <c r="M6" s="25"/>
      <c r="N6" s="25"/>
      <c r="O6" s="6" t="s">
        <v>10</v>
      </c>
      <c r="P6" s="6"/>
      <c r="Q6" s="6"/>
      <c r="R6" s="6"/>
      <c r="S6" s="8" t="str">
        <f>レビュー前セルフチェック記録表_Task.●●!S6</f>
        <v>Task.25,未入力勤怠確認画面の新作成</v>
      </c>
      <c r="T6" s="8"/>
      <c r="U6" s="8"/>
      <c r="V6" s="8"/>
      <c r="W6" s="8"/>
      <c r="X6" s="8"/>
      <c r="Y6" s="8"/>
      <c r="Z6" s="8"/>
      <c r="AA6" s="8"/>
      <c r="AB6" s="8"/>
      <c r="AC6" s="6" t="s">
        <v>37</v>
      </c>
      <c r="AD6" s="6"/>
      <c r="AE6" s="6"/>
      <c r="AF6" s="6"/>
      <c r="AG6" s="6"/>
      <c r="AH6" s="6"/>
      <c r="AI6" s="26"/>
      <c r="AJ6" s="26"/>
      <c r="AK6" s="26"/>
      <c r="AL6" s="26"/>
      <c r="AM6" s="26"/>
      <c r="AN6" s="6" t="s">
        <v>38</v>
      </c>
      <c r="AO6" s="6"/>
      <c r="AP6" s="6"/>
      <c r="AQ6" s="6"/>
      <c r="AR6" s="6"/>
      <c r="AS6" s="6"/>
      <c r="AT6" s="26" t="s">
        <v>54</v>
      </c>
      <c r="AU6" s="26"/>
      <c r="AV6" s="26"/>
      <c r="AW6" s="26"/>
      <c r="AX6" s="26"/>
      <c r="AY6" s="6" t="s">
        <v>39</v>
      </c>
      <c r="AZ6" s="6"/>
      <c r="BA6" s="6"/>
      <c r="BB6" s="6"/>
      <c r="BC6" s="6"/>
    </row>
    <row r="7" spans="1:55" x14ac:dyDescent="0.15">
      <c r="A7" s="6"/>
      <c r="B7" s="6"/>
      <c r="C7" s="6"/>
      <c r="D7" s="6"/>
      <c r="E7" s="25"/>
      <c r="F7" s="25"/>
      <c r="G7" s="25"/>
      <c r="H7" s="25"/>
      <c r="I7" s="25"/>
      <c r="J7" s="25"/>
      <c r="K7" s="25"/>
      <c r="L7" s="25"/>
      <c r="M7" s="25"/>
      <c r="N7" s="25"/>
      <c r="O7" s="6"/>
      <c r="P7" s="6"/>
      <c r="Q7" s="6"/>
      <c r="R7" s="6"/>
      <c r="S7" s="8"/>
      <c r="T7" s="8"/>
      <c r="U7" s="8"/>
      <c r="V7" s="8"/>
      <c r="W7" s="8"/>
      <c r="X7" s="8"/>
      <c r="Y7" s="8"/>
      <c r="Z7" s="8"/>
      <c r="AA7" s="8"/>
      <c r="AB7" s="8"/>
      <c r="AC7" s="6" t="s">
        <v>40</v>
      </c>
      <c r="AD7" s="6"/>
      <c r="AE7" s="6"/>
      <c r="AF7" s="6"/>
      <c r="AG7" s="6"/>
      <c r="AH7" s="6"/>
      <c r="AI7" s="27"/>
      <c r="AJ7" s="27"/>
      <c r="AK7" s="27"/>
      <c r="AL7" s="27"/>
      <c r="AM7" s="27"/>
      <c r="AN7" s="6" t="s">
        <v>41</v>
      </c>
      <c r="AO7" s="6"/>
      <c r="AP7" s="6"/>
      <c r="AQ7" s="6"/>
      <c r="AR7" s="6"/>
      <c r="AS7" s="6"/>
      <c r="AT7" s="27" t="s">
        <v>55</v>
      </c>
      <c r="AU7" s="27"/>
      <c r="AV7" s="27"/>
      <c r="AW7" s="27"/>
      <c r="AX7" s="27"/>
      <c r="AY7" s="3"/>
      <c r="AZ7" s="3"/>
      <c r="BA7" s="3"/>
      <c r="BB7" s="3"/>
      <c r="BC7" s="3"/>
    </row>
    <row r="8" spans="1:55" x14ac:dyDescent="0.15">
      <c r="A8" s="6"/>
      <c r="B8" s="6"/>
      <c r="C8" s="6"/>
      <c r="D8" s="6"/>
      <c r="E8" s="25"/>
      <c r="F8" s="25"/>
      <c r="G8" s="25"/>
      <c r="H8" s="25"/>
      <c r="I8" s="25"/>
      <c r="J8" s="25"/>
      <c r="K8" s="25"/>
      <c r="L8" s="25"/>
      <c r="M8" s="25"/>
      <c r="N8" s="25"/>
      <c r="O8" s="6"/>
      <c r="P8" s="6"/>
      <c r="Q8" s="6"/>
      <c r="R8" s="6"/>
      <c r="S8" s="8"/>
      <c r="T8" s="8"/>
      <c r="U8" s="8"/>
      <c r="V8" s="8"/>
      <c r="W8" s="8"/>
      <c r="X8" s="8"/>
      <c r="Y8" s="8"/>
      <c r="Z8" s="8"/>
      <c r="AA8" s="8"/>
      <c r="AB8" s="8"/>
      <c r="AC8" s="6" t="s">
        <v>42</v>
      </c>
      <c r="AD8" s="6"/>
      <c r="AE8" s="6"/>
      <c r="AF8" s="6"/>
      <c r="AG8" s="6"/>
      <c r="AH8" s="6"/>
      <c r="AI8" s="27"/>
      <c r="AJ8" s="27"/>
      <c r="AK8" s="27"/>
      <c r="AL8" s="27"/>
      <c r="AM8" s="27"/>
      <c r="AN8" s="6" t="s">
        <v>43</v>
      </c>
      <c r="AO8" s="6"/>
      <c r="AP8" s="6"/>
      <c r="AQ8" s="6"/>
      <c r="AR8" s="6"/>
      <c r="AS8" s="6"/>
      <c r="AT8" s="27"/>
      <c r="AU8" s="27"/>
      <c r="AV8" s="27"/>
      <c r="AW8" s="27"/>
      <c r="AX8" s="27"/>
      <c r="AY8" s="3"/>
      <c r="AZ8" s="3"/>
      <c r="BA8" s="3"/>
      <c r="BB8" s="3"/>
      <c r="BC8" s="3"/>
    </row>
    <row r="9" spans="1:55" x14ac:dyDescent="0.15">
      <c r="A9" s="6" t="s">
        <v>17</v>
      </c>
      <c r="B9" s="6"/>
      <c r="C9" s="6" t="s">
        <v>44</v>
      </c>
      <c r="D9" s="6"/>
      <c r="E9" s="6"/>
      <c r="F9" s="6"/>
      <c r="G9" s="6"/>
      <c r="H9" s="6"/>
      <c r="I9" s="6"/>
      <c r="J9" s="6"/>
      <c r="K9" s="6"/>
      <c r="L9" s="6" t="s">
        <v>45</v>
      </c>
      <c r="M9" s="6"/>
      <c r="N9" s="6"/>
      <c r="O9" s="6"/>
      <c r="P9" s="6"/>
      <c r="Q9" s="6"/>
      <c r="R9" s="6"/>
      <c r="S9" s="6"/>
      <c r="T9" s="6"/>
      <c r="U9" s="6"/>
      <c r="V9" s="6"/>
      <c r="W9" s="6"/>
      <c r="X9" s="6" t="s">
        <v>46</v>
      </c>
      <c r="Y9" s="6"/>
      <c r="Z9" s="6"/>
      <c r="AA9" s="6"/>
      <c r="AB9" s="6"/>
      <c r="AC9" s="6"/>
      <c r="AD9" s="6"/>
      <c r="AE9" s="6"/>
      <c r="AF9" s="6"/>
      <c r="AG9" s="6"/>
      <c r="AH9" s="6"/>
      <c r="AI9" s="6"/>
      <c r="AJ9" s="6" t="s">
        <v>47</v>
      </c>
      <c r="AK9" s="6"/>
      <c r="AL9" s="6"/>
      <c r="AM9" s="6"/>
      <c r="AN9" s="6"/>
      <c r="AO9" s="6"/>
      <c r="AP9" s="6"/>
      <c r="AQ9" s="6"/>
      <c r="AR9" s="6"/>
      <c r="AS9" s="6"/>
      <c r="AT9" s="6"/>
      <c r="AU9" s="6"/>
      <c r="AV9" s="6" t="s">
        <v>48</v>
      </c>
      <c r="AW9" s="6"/>
      <c r="AX9" s="6"/>
      <c r="AY9" s="6"/>
      <c r="AZ9" s="6" t="s">
        <v>19</v>
      </c>
      <c r="BA9" s="6"/>
      <c r="BB9" s="6"/>
      <c r="BC9" s="6"/>
    </row>
    <row r="10" spans="1:55" x14ac:dyDescent="0.15">
      <c r="A10" s="1">
        <v>1</v>
      </c>
      <c r="B10" s="1"/>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3"/>
      <c r="AW10" s="3"/>
      <c r="AX10" s="3"/>
      <c r="AY10" s="3"/>
      <c r="AZ10" s="3"/>
      <c r="BA10" s="3"/>
      <c r="BB10" s="3"/>
      <c r="BC10" s="3"/>
    </row>
    <row r="11" spans="1:55" x14ac:dyDescent="0.15">
      <c r="A11" s="1"/>
      <c r="B11" s="1"/>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3"/>
      <c r="AW11" s="3"/>
      <c r="AX11" s="3"/>
      <c r="AY11" s="3"/>
      <c r="AZ11" s="3"/>
      <c r="BA11" s="3"/>
      <c r="BB11" s="3"/>
      <c r="BC11" s="3"/>
    </row>
    <row r="12" spans="1:55" x14ac:dyDescent="0.15">
      <c r="A12" s="1"/>
      <c r="B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3"/>
      <c r="AW12" s="3"/>
      <c r="AX12" s="3"/>
      <c r="AY12" s="3"/>
      <c r="AZ12" s="3"/>
      <c r="BA12" s="3"/>
      <c r="BB12" s="3"/>
      <c r="BC12" s="3"/>
    </row>
    <row r="13" spans="1:55" x14ac:dyDescent="0.15">
      <c r="A13" s="1"/>
      <c r="B13" s="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3"/>
      <c r="AW13" s="3"/>
      <c r="AX13" s="3"/>
      <c r="AY13" s="3"/>
      <c r="AZ13" s="3"/>
      <c r="BA13" s="3"/>
      <c r="BB13" s="3"/>
      <c r="BC13" s="3"/>
    </row>
    <row r="14" spans="1:55" x14ac:dyDescent="0.15">
      <c r="A14" s="1"/>
      <c r="B14" s="1"/>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3"/>
      <c r="AW14" s="3"/>
      <c r="AX14" s="3"/>
      <c r="AY14" s="3"/>
      <c r="AZ14" s="3"/>
      <c r="BA14" s="3"/>
      <c r="BB14" s="3"/>
      <c r="BC14" s="3"/>
    </row>
    <row r="15" spans="1:55" x14ac:dyDescent="0.15">
      <c r="A15" s="1">
        <v>2</v>
      </c>
      <c r="B15" s="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3"/>
      <c r="AW15" s="3"/>
      <c r="AX15" s="3"/>
      <c r="AY15" s="3"/>
      <c r="AZ15" s="3"/>
      <c r="BA15" s="3"/>
      <c r="BB15" s="3"/>
      <c r="BC15" s="3"/>
    </row>
    <row r="16" spans="1:55" x14ac:dyDescent="0.15">
      <c r="A16" s="1"/>
      <c r="B16" s="1"/>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3"/>
      <c r="AW16" s="3"/>
      <c r="AX16" s="3"/>
      <c r="AY16" s="3"/>
      <c r="AZ16" s="3"/>
      <c r="BA16" s="3"/>
      <c r="BB16" s="3"/>
      <c r="BC16" s="3"/>
    </row>
    <row r="17" spans="1:55" x14ac:dyDescent="0.15">
      <c r="A17" s="1"/>
      <c r="B17" s="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3"/>
      <c r="AW17" s="3"/>
      <c r="AX17" s="3"/>
      <c r="AY17" s="3"/>
      <c r="AZ17" s="3"/>
      <c r="BA17" s="3"/>
      <c r="BB17" s="3"/>
      <c r="BC17" s="3"/>
    </row>
    <row r="18" spans="1:55" x14ac:dyDescent="0.15">
      <c r="A18" s="1"/>
      <c r="B18" s="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3"/>
      <c r="AW18" s="3"/>
      <c r="AX18" s="3"/>
      <c r="AY18" s="3"/>
      <c r="AZ18" s="3"/>
      <c r="BA18" s="3"/>
      <c r="BB18" s="3"/>
      <c r="BC18" s="3"/>
    </row>
    <row r="19" spans="1:55" x14ac:dyDescent="0.15">
      <c r="A19" s="1"/>
      <c r="B19" s="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3"/>
      <c r="AW19" s="3"/>
      <c r="AX19" s="3"/>
      <c r="AY19" s="3"/>
      <c r="AZ19" s="3"/>
      <c r="BA19" s="3"/>
      <c r="BB19" s="3"/>
      <c r="BC19" s="3"/>
    </row>
    <row r="20" spans="1:55" x14ac:dyDescent="0.15">
      <c r="A20" s="1">
        <v>3</v>
      </c>
      <c r="B20" s="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3"/>
      <c r="AW20" s="3"/>
      <c r="AX20" s="3"/>
      <c r="AY20" s="3"/>
      <c r="AZ20" s="3"/>
      <c r="BA20" s="3"/>
      <c r="BB20" s="3"/>
      <c r="BC20" s="3"/>
    </row>
    <row r="21" spans="1:55" x14ac:dyDescent="0.15">
      <c r="A21" s="1"/>
      <c r="B21" s="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3"/>
      <c r="AW21" s="3"/>
      <c r="AX21" s="3"/>
      <c r="AY21" s="3"/>
      <c r="AZ21" s="3"/>
      <c r="BA21" s="3"/>
      <c r="BB21" s="3"/>
      <c r="BC21" s="3"/>
    </row>
    <row r="22" spans="1:55" x14ac:dyDescent="0.15">
      <c r="A22" s="1"/>
      <c r="B22" s="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3"/>
      <c r="AW22" s="3"/>
      <c r="AX22" s="3"/>
      <c r="AY22" s="3"/>
      <c r="AZ22" s="3"/>
      <c r="BA22" s="3"/>
      <c r="BB22" s="3"/>
      <c r="BC22" s="3"/>
    </row>
    <row r="23" spans="1:55" x14ac:dyDescent="0.15">
      <c r="A23" s="1"/>
      <c r="B23" s="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3"/>
      <c r="AW23" s="3"/>
      <c r="AX23" s="3"/>
      <c r="AY23" s="3"/>
      <c r="AZ23" s="3"/>
      <c r="BA23" s="3"/>
      <c r="BB23" s="3"/>
      <c r="BC23" s="3"/>
    </row>
    <row r="24" spans="1:55" x14ac:dyDescent="0.15">
      <c r="A24" s="1"/>
      <c r="B24" s="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3"/>
      <c r="AW24" s="3"/>
      <c r="AX24" s="3"/>
      <c r="AY24" s="3"/>
      <c r="AZ24" s="3"/>
      <c r="BA24" s="3"/>
      <c r="BB24" s="3"/>
      <c r="BC24" s="3"/>
    </row>
    <row r="25" spans="1:55" x14ac:dyDescent="0.15">
      <c r="A25" s="1">
        <v>4</v>
      </c>
      <c r="B25" s="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3"/>
      <c r="AW25" s="3"/>
      <c r="AX25" s="3"/>
      <c r="AY25" s="3"/>
      <c r="AZ25" s="3"/>
      <c r="BA25" s="3"/>
      <c r="BB25" s="3"/>
      <c r="BC25" s="3"/>
    </row>
    <row r="26" spans="1:55" x14ac:dyDescent="0.15">
      <c r="A26" s="1"/>
      <c r="B26" s="1"/>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3"/>
      <c r="AW26" s="3"/>
      <c r="AX26" s="3"/>
      <c r="AY26" s="3"/>
      <c r="AZ26" s="3"/>
      <c r="BA26" s="3"/>
      <c r="BB26" s="3"/>
      <c r="BC26" s="3"/>
    </row>
    <row r="27" spans="1:55" x14ac:dyDescent="0.15">
      <c r="A27" s="1"/>
      <c r="B27" s="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3"/>
      <c r="AW27" s="3"/>
      <c r="AX27" s="3"/>
      <c r="AY27" s="3"/>
      <c r="AZ27" s="3"/>
      <c r="BA27" s="3"/>
      <c r="BB27" s="3"/>
      <c r="BC27" s="3"/>
    </row>
    <row r="28" spans="1:55" x14ac:dyDescent="0.15">
      <c r="A28" s="1"/>
      <c r="B28" s="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3"/>
      <c r="AW28" s="3"/>
      <c r="AX28" s="3"/>
      <c r="AY28" s="3"/>
      <c r="AZ28" s="3"/>
      <c r="BA28" s="3"/>
      <c r="BB28" s="3"/>
      <c r="BC28" s="3"/>
    </row>
    <row r="29" spans="1:55" x14ac:dyDescent="0.15">
      <c r="A29" s="1"/>
      <c r="B29" s="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3"/>
      <c r="AW29" s="3"/>
      <c r="AX29" s="3"/>
      <c r="AY29" s="3"/>
      <c r="AZ29" s="3"/>
      <c r="BA29" s="3"/>
      <c r="BB29" s="3"/>
      <c r="BC29" s="3"/>
    </row>
    <row r="30" spans="1:55" x14ac:dyDescent="0.15">
      <c r="A30" s="1">
        <v>5</v>
      </c>
      <c r="B30" s="1"/>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3"/>
      <c r="AW30" s="3"/>
      <c r="AX30" s="3"/>
      <c r="AY30" s="3"/>
      <c r="AZ30" s="3"/>
      <c r="BA30" s="3"/>
      <c r="BB30" s="3"/>
      <c r="BC30" s="3"/>
    </row>
    <row r="31" spans="1:55" x14ac:dyDescent="0.15">
      <c r="A31" s="1"/>
      <c r="B31" s="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3"/>
      <c r="AW31" s="3"/>
      <c r="AX31" s="3"/>
      <c r="AY31" s="3"/>
      <c r="AZ31" s="3"/>
      <c r="BA31" s="3"/>
      <c r="BB31" s="3"/>
      <c r="BC31" s="3"/>
    </row>
    <row r="32" spans="1:55" x14ac:dyDescent="0.15">
      <c r="A32" s="1"/>
      <c r="B32" s="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3"/>
      <c r="AW32" s="3"/>
      <c r="AX32" s="3"/>
      <c r="AY32" s="3"/>
      <c r="AZ32" s="3"/>
      <c r="BA32" s="3"/>
      <c r="BB32" s="3"/>
      <c r="BC32" s="3"/>
    </row>
    <row r="33" spans="1:55" x14ac:dyDescent="0.15">
      <c r="A33" s="1"/>
      <c r="B33" s="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3"/>
      <c r="AW33" s="3"/>
      <c r="AX33" s="3"/>
      <c r="AY33" s="3"/>
      <c r="AZ33" s="3"/>
      <c r="BA33" s="3"/>
      <c r="BB33" s="3"/>
      <c r="BC33" s="3"/>
    </row>
    <row r="34" spans="1:55" x14ac:dyDescent="0.15">
      <c r="A34" s="1"/>
      <c r="B34" s="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3"/>
      <c r="AW34" s="3"/>
      <c r="AX34" s="3"/>
      <c r="AY34" s="3"/>
      <c r="AZ34" s="3"/>
      <c r="BA34" s="3"/>
      <c r="BB34" s="3"/>
      <c r="BC34" s="3"/>
    </row>
    <row r="35" spans="1:55" x14ac:dyDescent="0.15">
      <c r="A35" s="1">
        <v>6</v>
      </c>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3"/>
      <c r="AW35" s="3"/>
      <c r="AX35" s="3"/>
      <c r="AY35" s="3"/>
      <c r="AZ35" s="3"/>
      <c r="BA35" s="3"/>
      <c r="BB35" s="3"/>
      <c r="BC35" s="3"/>
    </row>
    <row r="36" spans="1:55" x14ac:dyDescent="0.15">
      <c r="A36" s="1"/>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3"/>
      <c r="AW36" s="3"/>
      <c r="AX36" s="3"/>
      <c r="AY36" s="3"/>
      <c r="AZ36" s="3"/>
      <c r="BA36" s="3"/>
      <c r="BB36" s="3"/>
      <c r="BC36" s="3"/>
    </row>
    <row r="37" spans="1:55" x14ac:dyDescent="0.15">
      <c r="A37" s="1"/>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3"/>
      <c r="AW37" s="3"/>
      <c r="AX37" s="3"/>
      <c r="AY37" s="3"/>
      <c r="AZ37" s="3"/>
      <c r="BA37" s="3"/>
      <c r="BB37" s="3"/>
      <c r="BC37" s="3"/>
    </row>
    <row r="38" spans="1:55" x14ac:dyDescent="0.15">
      <c r="A38" s="1"/>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3"/>
      <c r="AW38" s="3"/>
      <c r="AX38" s="3"/>
      <c r="AY38" s="3"/>
      <c r="AZ38" s="3"/>
      <c r="BA38" s="3"/>
      <c r="BB38" s="3"/>
      <c r="BC38" s="3"/>
    </row>
    <row r="39" spans="1:55" x14ac:dyDescent="0.15">
      <c r="A39" s="1"/>
      <c r="B39" s="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3"/>
      <c r="AW39" s="3"/>
      <c r="AX39" s="3"/>
      <c r="AY39" s="3"/>
      <c r="AZ39" s="3"/>
      <c r="BA39" s="3"/>
      <c r="BB39" s="3"/>
      <c r="BC39" s="3"/>
    </row>
    <row r="40" spans="1:55" x14ac:dyDescent="0.15">
      <c r="A40" s="1">
        <v>7</v>
      </c>
      <c r="B40" s="1"/>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3"/>
      <c r="AW40" s="3"/>
      <c r="AX40" s="3"/>
      <c r="AY40" s="3"/>
      <c r="AZ40" s="3"/>
      <c r="BA40" s="3"/>
      <c r="BB40" s="3"/>
      <c r="BC40" s="3"/>
    </row>
    <row r="41" spans="1:55" x14ac:dyDescent="0.15">
      <c r="A41" s="1"/>
      <c r="B41" s="1"/>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3"/>
      <c r="AW41" s="3"/>
      <c r="AX41" s="3"/>
      <c r="AY41" s="3"/>
      <c r="AZ41" s="3"/>
      <c r="BA41" s="3"/>
      <c r="BB41" s="3"/>
      <c r="BC41" s="3"/>
    </row>
    <row r="42" spans="1:55" x14ac:dyDescent="0.15">
      <c r="A42" s="1"/>
      <c r="B42" s="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3"/>
      <c r="AW42" s="3"/>
      <c r="AX42" s="3"/>
      <c r="AY42" s="3"/>
      <c r="AZ42" s="3"/>
      <c r="BA42" s="3"/>
      <c r="BB42" s="3"/>
      <c r="BC42" s="3"/>
    </row>
    <row r="43" spans="1:55" x14ac:dyDescent="0.15">
      <c r="A43" s="1"/>
      <c r="B43" s="1"/>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3"/>
      <c r="AW43" s="3"/>
      <c r="AX43" s="3"/>
      <c r="AY43" s="3"/>
      <c r="AZ43" s="3"/>
      <c r="BA43" s="3"/>
      <c r="BB43" s="3"/>
      <c r="BC43" s="3"/>
    </row>
    <row r="44" spans="1:55" x14ac:dyDescent="0.15">
      <c r="A44" s="1"/>
      <c r="B44" s="1"/>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3"/>
      <c r="AW44" s="3"/>
      <c r="AX44" s="3"/>
      <c r="AY44" s="3"/>
      <c r="AZ44" s="3"/>
      <c r="BA44" s="3"/>
      <c r="BB44" s="3"/>
      <c r="BC44" s="3"/>
    </row>
    <row r="45" spans="1:55" x14ac:dyDescent="0.15">
      <c r="A45" s="1">
        <f ca="1">MAX(A$9:INDIRECT("A"&amp;ROW()-1))+1</f>
        <v>8</v>
      </c>
      <c r="B45" s="1"/>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3"/>
      <c r="AW45" s="3"/>
      <c r="AX45" s="3"/>
      <c r="AY45" s="3"/>
      <c r="AZ45" s="3"/>
      <c r="BA45" s="3"/>
      <c r="BB45" s="3"/>
      <c r="BC45" s="3"/>
    </row>
    <row r="46" spans="1:55" x14ac:dyDescent="0.15">
      <c r="A46" s="1"/>
      <c r="B46" s="1"/>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3"/>
      <c r="AW46" s="3"/>
      <c r="AX46" s="3"/>
      <c r="AY46" s="3"/>
      <c r="AZ46" s="3"/>
      <c r="BA46" s="3"/>
      <c r="BB46" s="3"/>
      <c r="BC46" s="3"/>
    </row>
    <row r="47" spans="1:55" x14ac:dyDescent="0.15">
      <c r="A47" s="1"/>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3"/>
      <c r="AW47" s="3"/>
      <c r="AX47" s="3"/>
      <c r="AY47" s="3"/>
      <c r="AZ47" s="3"/>
      <c r="BA47" s="3"/>
      <c r="BB47" s="3"/>
      <c r="BC47" s="3"/>
    </row>
    <row r="48" spans="1:55" x14ac:dyDescent="0.15">
      <c r="A48" s="1"/>
      <c r="B48" s="1"/>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3"/>
      <c r="AW48" s="3"/>
      <c r="AX48" s="3"/>
      <c r="AY48" s="3"/>
      <c r="AZ48" s="3"/>
      <c r="BA48" s="3"/>
      <c r="BB48" s="3"/>
      <c r="BC48" s="3"/>
    </row>
    <row r="49" spans="1:55" x14ac:dyDescent="0.15">
      <c r="A49" s="1"/>
      <c r="B49" s="1"/>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3"/>
      <c r="AW49" s="3"/>
      <c r="AX49" s="3"/>
      <c r="AY49" s="3"/>
      <c r="AZ49" s="3"/>
      <c r="BA49" s="3"/>
      <c r="BB49" s="3"/>
      <c r="BC49" s="3"/>
    </row>
    <row r="50" spans="1:55" x14ac:dyDescent="0.15">
      <c r="A50" s="1">
        <f ca="1">MAX(A$9:INDIRECT("A"&amp;ROW()-1))+1</f>
        <v>9</v>
      </c>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3"/>
      <c r="AW50" s="3"/>
      <c r="AX50" s="3"/>
      <c r="AY50" s="3"/>
      <c r="AZ50" s="3"/>
      <c r="BA50" s="3"/>
      <c r="BB50" s="3"/>
      <c r="BC50" s="3"/>
    </row>
    <row r="51" spans="1:55" x14ac:dyDescent="0.15">
      <c r="A51" s="1"/>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3"/>
      <c r="AW51" s="3"/>
      <c r="AX51" s="3"/>
      <c r="AY51" s="3"/>
      <c r="AZ51" s="3"/>
      <c r="BA51" s="3"/>
      <c r="BB51" s="3"/>
      <c r="BC51" s="3"/>
    </row>
    <row r="52" spans="1:55" x14ac:dyDescent="0.15">
      <c r="A52" s="1"/>
      <c r="B52" s="1"/>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3"/>
      <c r="AW52" s="3"/>
      <c r="AX52" s="3"/>
      <c r="AY52" s="3"/>
      <c r="AZ52" s="3"/>
      <c r="BA52" s="3"/>
      <c r="BB52" s="3"/>
      <c r="BC52" s="3"/>
    </row>
    <row r="53" spans="1:55" x14ac:dyDescent="0.15">
      <c r="A53" s="1"/>
      <c r="B53" s="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3"/>
      <c r="AW53" s="3"/>
      <c r="AX53" s="3"/>
      <c r="AY53" s="3"/>
      <c r="AZ53" s="3"/>
      <c r="BA53" s="3"/>
      <c r="BB53" s="3"/>
      <c r="BC53" s="3"/>
    </row>
    <row r="54" spans="1:55" x14ac:dyDescent="0.15">
      <c r="A54" s="1"/>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3"/>
      <c r="AW54" s="3"/>
      <c r="AX54" s="3"/>
      <c r="AY54" s="3"/>
      <c r="AZ54" s="3"/>
      <c r="BA54" s="3"/>
      <c r="BB54" s="3"/>
      <c r="BC54" s="3"/>
    </row>
    <row r="55" spans="1:55" x14ac:dyDescent="0.15">
      <c r="A55" s="1">
        <f ca="1">MAX(A$9:INDIRECT("A"&amp;ROW()-1))+1</f>
        <v>10</v>
      </c>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3"/>
      <c r="AW55" s="3"/>
      <c r="AX55" s="3"/>
      <c r="AY55" s="3"/>
      <c r="AZ55" s="3"/>
      <c r="BA55" s="3"/>
      <c r="BB55" s="3"/>
      <c r="BC55" s="3"/>
    </row>
    <row r="56" spans="1:55" x14ac:dyDescent="0.15">
      <c r="A56" s="1"/>
      <c r="B56" s="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3"/>
      <c r="AW56" s="3"/>
      <c r="AX56" s="3"/>
      <c r="AY56" s="3"/>
      <c r="AZ56" s="3"/>
      <c r="BA56" s="3"/>
      <c r="BB56" s="3"/>
      <c r="BC56" s="3"/>
    </row>
    <row r="57" spans="1:55" x14ac:dyDescent="0.15">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3"/>
      <c r="AW57" s="3"/>
      <c r="AX57" s="3"/>
      <c r="AY57" s="3"/>
      <c r="AZ57" s="3"/>
      <c r="BA57" s="3"/>
      <c r="BB57" s="3"/>
      <c r="BC57" s="3"/>
    </row>
    <row r="58" spans="1:55" x14ac:dyDescent="0.15">
      <c r="A58" s="1"/>
      <c r="B58" s="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3"/>
      <c r="AW58" s="3"/>
      <c r="AX58" s="3"/>
      <c r="AY58" s="3"/>
      <c r="AZ58" s="3"/>
      <c r="BA58" s="3"/>
      <c r="BB58" s="3"/>
      <c r="BC58" s="3"/>
    </row>
    <row r="59" spans="1:55" x14ac:dyDescent="0.15">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3"/>
      <c r="AW59" s="3"/>
      <c r="AX59" s="3"/>
      <c r="AY59" s="3"/>
      <c r="AZ59" s="3"/>
      <c r="BA59" s="3"/>
      <c r="BB59" s="3"/>
      <c r="BC59" s="3"/>
    </row>
    <row r="60" spans="1:55" x14ac:dyDescent="0.15">
      <c r="A60" s="1">
        <f ca="1">MAX(A$9:INDIRECT("A"&amp;ROW()-1))+1</f>
        <v>11</v>
      </c>
      <c r="B60" s="1"/>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3"/>
      <c r="AW60" s="3"/>
      <c r="AX60" s="3"/>
      <c r="AY60" s="3"/>
      <c r="AZ60" s="3"/>
      <c r="BA60" s="3"/>
      <c r="BB60" s="3"/>
      <c r="BC60" s="3"/>
    </row>
    <row r="61" spans="1:55" x14ac:dyDescent="0.15">
      <c r="A61" s="1"/>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3"/>
      <c r="AW61" s="3"/>
      <c r="AX61" s="3"/>
      <c r="AY61" s="3"/>
      <c r="AZ61" s="3"/>
      <c r="BA61" s="3"/>
      <c r="BB61" s="3"/>
      <c r="BC61" s="3"/>
    </row>
    <row r="62" spans="1:55" x14ac:dyDescent="0.15">
      <c r="A62" s="1"/>
      <c r="B62" s="1"/>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3"/>
      <c r="AW62" s="3"/>
      <c r="AX62" s="3"/>
      <c r="AY62" s="3"/>
      <c r="AZ62" s="3"/>
      <c r="BA62" s="3"/>
      <c r="BB62" s="3"/>
      <c r="BC62" s="3"/>
    </row>
    <row r="63" spans="1:55" x14ac:dyDescent="0.15">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3"/>
      <c r="AW63" s="3"/>
      <c r="AX63" s="3"/>
      <c r="AY63" s="3"/>
      <c r="AZ63" s="3"/>
      <c r="BA63" s="3"/>
      <c r="BB63" s="3"/>
      <c r="BC63" s="3"/>
    </row>
    <row r="64" spans="1:55" x14ac:dyDescent="0.15">
      <c r="A64" s="1"/>
      <c r="B64" s="1"/>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3"/>
      <c r="AW64" s="3"/>
      <c r="AX64" s="3"/>
      <c r="AY64" s="3"/>
      <c r="AZ64" s="3"/>
      <c r="BA64" s="3"/>
      <c r="BB64" s="3"/>
      <c r="BC64" s="3"/>
    </row>
    <row r="65" spans="1:55" x14ac:dyDescent="0.15">
      <c r="A65" s="1">
        <f ca="1">MAX(A$9:INDIRECT("A"&amp;ROW()-1))+1</f>
        <v>12</v>
      </c>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3"/>
      <c r="AW65" s="3"/>
      <c r="AX65" s="3"/>
      <c r="AY65" s="3"/>
      <c r="AZ65" s="3"/>
      <c r="BA65" s="3"/>
      <c r="BB65" s="3"/>
      <c r="BC65" s="3"/>
    </row>
    <row r="66" spans="1:55" x14ac:dyDescent="0.15">
      <c r="A66" s="1"/>
      <c r="B66" s="1"/>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3"/>
      <c r="AW66" s="3"/>
      <c r="AX66" s="3"/>
      <c r="AY66" s="3"/>
      <c r="AZ66" s="3"/>
      <c r="BA66" s="3"/>
      <c r="BB66" s="3"/>
      <c r="BC66" s="3"/>
    </row>
    <row r="67" spans="1:55" x14ac:dyDescent="0.15">
      <c r="A67" s="1"/>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3"/>
      <c r="AW67" s="3"/>
      <c r="AX67" s="3"/>
      <c r="AY67" s="3"/>
      <c r="AZ67" s="3"/>
      <c r="BA67" s="3"/>
      <c r="BB67" s="3"/>
      <c r="BC67" s="3"/>
    </row>
    <row r="68" spans="1:55" x14ac:dyDescent="0.15">
      <c r="A68" s="1"/>
      <c r="B68" s="1"/>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3"/>
      <c r="AW68" s="3"/>
      <c r="AX68" s="3"/>
      <c r="AY68" s="3"/>
      <c r="AZ68" s="3"/>
      <c r="BA68" s="3"/>
      <c r="BB68" s="3"/>
      <c r="BC68" s="3"/>
    </row>
    <row r="69" spans="1:55" x14ac:dyDescent="0.15">
      <c r="A69" s="1"/>
      <c r="B69" s="1"/>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3"/>
      <c r="AW69" s="3"/>
      <c r="AX69" s="3"/>
      <c r="AY69" s="3"/>
      <c r="AZ69" s="3"/>
      <c r="BA69" s="3"/>
      <c r="BB69" s="3"/>
      <c r="BC69" s="3"/>
    </row>
    <row r="70" spans="1:55" x14ac:dyDescent="0.15">
      <c r="A70" s="1">
        <f ca="1">MAX(A$9:INDIRECT("A"&amp;ROW()-1))+1</f>
        <v>13</v>
      </c>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3"/>
      <c r="AW70" s="3"/>
      <c r="AX70" s="3"/>
      <c r="AY70" s="3"/>
      <c r="AZ70" s="3"/>
      <c r="BA70" s="3"/>
      <c r="BB70" s="3"/>
      <c r="BC70" s="3"/>
    </row>
    <row r="71" spans="1:55" x14ac:dyDescent="0.15">
      <c r="A71" s="1"/>
      <c r="B71" s="1"/>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3"/>
      <c r="AW71" s="3"/>
      <c r="AX71" s="3"/>
      <c r="AY71" s="3"/>
      <c r="AZ71" s="3"/>
      <c r="BA71" s="3"/>
      <c r="BB71" s="3"/>
      <c r="BC71" s="3"/>
    </row>
    <row r="72" spans="1:55" x14ac:dyDescent="0.15">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3"/>
      <c r="AW72" s="3"/>
      <c r="AX72" s="3"/>
      <c r="AY72" s="3"/>
      <c r="AZ72" s="3"/>
      <c r="BA72" s="3"/>
      <c r="BB72" s="3"/>
      <c r="BC72" s="3"/>
    </row>
    <row r="73" spans="1:55" x14ac:dyDescent="0.15">
      <c r="A73" s="1"/>
      <c r="B73" s="1"/>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3"/>
      <c r="AW73" s="3"/>
      <c r="AX73" s="3"/>
      <c r="AY73" s="3"/>
      <c r="AZ73" s="3"/>
      <c r="BA73" s="3"/>
      <c r="BB73" s="3"/>
      <c r="BC73" s="3"/>
    </row>
    <row r="74" spans="1:55" x14ac:dyDescent="0.15">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3"/>
      <c r="AW74" s="3"/>
      <c r="AX74" s="3"/>
      <c r="AY74" s="3"/>
      <c r="AZ74" s="3"/>
      <c r="BA74" s="3"/>
      <c r="BB74" s="3"/>
      <c r="BC74" s="3"/>
    </row>
    <row r="75" spans="1:55" x14ac:dyDescent="0.15">
      <c r="A75" s="1">
        <f ca="1">MAX(A$9:INDIRECT("A"&amp;ROW()-1))+1</f>
        <v>14</v>
      </c>
      <c r="B75" s="1"/>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3"/>
      <c r="AW75" s="3"/>
      <c r="AX75" s="3"/>
      <c r="AY75" s="3"/>
      <c r="AZ75" s="3"/>
      <c r="BA75" s="3"/>
      <c r="BB75" s="3"/>
      <c r="BC75" s="3"/>
    </row>
    <row r="76" spans="1:55" x14ac:dyDescent="0.15">
      <c r="A76" s="1"/>
      <c r="B76" s="1"/>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3"/>
      <c r="AW76" s="3"/>
      <c r="AX76" s="3"/>
      <c r="AY76" s="3"/>
      <c r="AZ76" s="3"/>
      <c r="BA76" s="3"/>
      <c r="BB76" s="3"/>
      <c r="BC76" s="3"/>
    </row>
    <row r="77" spans="1:55" x14ac:dyDescent="0.15">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3"/>
      <c r="AW77" s="3"/>
      <c r="AX77" s="3"/>
      <c r="AY77" s="3"/>
      <c r="AZ77" s="3"/>
      <c r="BA77" s="3"/>
      <c r="BB77" s="3"/>
      <c r="BC77" s="3"/>
    </row>
    <row r="78" spans="1:55" x14ac:dyDescent="0.15">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3"/>
      <c r="AW78" s="3"/>
      <c r="AX78" s="3"/>
      <c r="AY78" s="3"/>
      <c r="AZ78" s="3"/>
      <c r="BA78" s="3"/>
      <c r="BB78" s="3"/>
      <c r="BC78" s="3"/>
    </row>
    <row r="79" spans="1:55" x14ac:dyDescent="0.15">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3"/>
      <c r="AW79" s="3"/>
      <c r="AX79" s="3"/>
      <c r="AY79" s="3"/>
      <c r="AZ79" s="3"/>
      <c r="BA79" s="3"/>
      <c r="BB79" s="3"/>
      <c r="BC79" s="3"/>
    </row>
    <row r="80" spans="1:55" x14ac:dyDescent="0.15">
      <c r="A80" s="1">
        <f ca="1">MAX(A$9:INDIRECT("A"&amp;ROW()-1))+1</f>
        <v>15</v>
      </c>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3"/>
      <c r="AW80" s="3"/>
      <c r="AX80" s="3"/>
      <c r="AY80" s="3"/>
      <c r="AZ80" s="3"/>
      <c r="BA80" s="3"/>
      <c r="BB80" s="3"/>
      <c r="BC80" s="3"/>
    </row>
    <row r="81" spans="1:55" x14ac:dyDescent="0.15">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3"/>
      <c r="AW81" s="3"/>
      <c r="AX81" s="3"/>
      <c r="AY81" s="3"/>
      <c r="AZ81" s="3"/>
      <c r="BA81" s="3"/>
      <c r="BB81" s="3"/>
      <c r="BC81" s="3"/>
    </row>
    <row r="82" spans="1:55" x14ac:dyDescent="0.15">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3"/>
      <c r="AW82" s="3"/>
      <c r="AX82" s="3"/>
      <c r="AY82" s="3"/>
      <c r="AZ82" s="3"/>
      <c r="BA82" s="3"/>
      <c r="BB82" s="3"/>
      <c r="BC82" s="3"/>
    </row>
    <row r="83" spans="1:55" x14ac:dyDescent="0.15">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3"/>
      <c r="AW83" s="3"/>
      <c r="AX83" s="3"/>
      <c r="AY83" s="3"/>
      <c r="AZ83" s="3"/>
      <c r="BA83" s="3"/>
      <c r="BB83" s="3"/>
      <c r="BC83" s="3"/>
    </row>
    <row r="84" spans="1:55" x14ac:dyDescent="0.15">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3"/>
      <c r="AW84" s="3"/>
      <c r="AX84" s="3"/>
      <c r="AY84" s="3"/>
      <c r="AZ84" s="3"/>
      <c r="BA84" s="3"/>
      <c r="BB84" s="3"/>
      <c r="BC84" s="3"/>
    </row>
    <row r="85" spans="1:55" x14ac:dyDescent="0.15">
      <c r="A85" s="1">
        <f ca="1">MAX(A$9:INDIRECT("A"&amp;ROW()-1))+1</f>
        <v>16</v>
      </c>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3"/>
      <c r="AW85" s="3"/>
      <c r="AX85" s="3"/>
      <c r="AY85" s="3"/>
      <c r="AZ85" s="3"/>
      <c r="BA85" s="3"/>
      <c r="BB85" s="3"/>
      <c r="BC85" s="3"/>
    </row>
    <row r="86" spans="1:55" x14ac:dyDescent="0.15">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3"/>
      <c r="AW86" s="3"/>
      <c r="AX86" s="3"/>
      <c r="AY86" s="3"/>
      <c r="AZ86" s="3"/>
      <c r="BA86" s="3"/>
      <c r="BB86" s="3"/>
      <c r="BC86" s="3"/>
    </row>
    <row r="87" spans="1:55" x14ac:dyDescent="0.15">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3"/>
      <c r="AW87" s="3"/>
      <c r="AX87" s="3"/>
      <c r="AY87" s="3"/>
      <c r="AZ87" s="3"/>
      <c r="BA87" s="3"/>
      <c r="BB87" s="3"/>
      <c r="BC87" s="3"/>
    </row>
    <row r="88" spans="1:55" x14ac:dyDescent="0.15">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3"/>
      <c r="AW88" s="3"/>
      <c r="AX88" s="3"/>
      <c r="AY88" s="3"/>
      <c r="AZ88" s="3"/>
      <c r="BA88" s="3"/>
      <c r="BB88" s="3"/>
      <c r="BC88" s="3"/>
    </row>
    <row r="89" spans="1:55" x14ac:dyDescent="0.15">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3"/>
      <c r="AW89" s="3"/>
      <c r="AX89" s="3"/>
      <c r="AY89" s="3"/>
      <c r="AZ89" s="3"/>
      <c r="BA89" s="3"/>
      <c r="BB89" s="3"/>
      <c r="BC89" s="3"/>
    </row>
    <row r="90" spans="1:55" x14ac:dyDescent="0.15">
      <c r="A90" s="1">
        <f ca="1">MAX(A$9:INDIRECT("A"&amp;ROW()-1))+1</f>
        <v>17</v>
      </c>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3"/>
      <c r="AW90" s="3"/>
      <c r="AX90" s="3"/>
      <c r="AY90" s="3"/>
      <c r="AZ90" s="3"/>
      <c r="BA90" s="3"/>
      <c r="BB90" s="3"/>
      <c r="BC90" s="3"/>
    </row>
    <row r="91" spans="1:55" x14ac:dyDescent="0.15">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3"/>
      <c r="AW91" s="3"/>
      <c r="AX91" s="3"/>
      <c r="AY91" s="3"/>
      <c r="AZ91" s="3"/>
      <c r="BA91" s="3"/>
      <c r="BB91" s="3"/>
      <c r="BC91" s="3"/>
    </row>
    <row r="92" spans="1:55" x14ac:dyDescent="0.15">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3"/>
      <c r="AW92" s="3"/>
      <c r="AX92" s="3"/>
      <c r="AY92" s="3"/>
      <c r="AZ92" s="3"/>
      <c r="BA92" s="3"/>
      <c r="BB92" s="3"/>
      <c r="BC92" s="3"/>
    </row>
    <row r="93" spans="1:55" x14ac:dyDescent="0.15">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3"/>
      <c r="AW93" s="3"/>
      <c r="AX93" s="3"/>
      <c r="AY93" s="3"/>
      <c r="AZ93" s="3"/>
      <c r="BA93" s="3"/>
      <c r="BB93" s="3"/>
      <c r="BC93" s="3"/>
    </row>
    <row r="94" spans="1:55" x14ac:dyDescent="0.15">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3"/>
      <c r="AW94" s="3"/>
      <c r="AX94" s="3"/>
      <c r="AY94" s="3"/>
      <c r="AZ94" s="3"/>
      <c r="BA94" s="3"/>
      <c r="BB94" s="3"/>
      <c r="BC94" s="3"/>
    </row>
    <row r="95" spans="1:55" x14ac:dyDescent="0.15">
      <c r="A95" s="1">
        <f ca="1">MAX(A$9:INDIRECT("A"&amp;ROW()-1))+1</f>
        <v>18</v>
      </c>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3"/>
      <c r="AW95" s="3"/>
      <c r="AX95" s="3"/>
      <c r="AY95" s="3"/>
      <c r="AZ95" s="3"/>
      <c r="BA95" s="3"/>
      <c r="BB95" s="3"/>
      <c r="BC95" s="3"/>
    </row>
    <row r="96" spans="1:55" x14ac:dyDescent="0.15">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3"/>
      <c r="AW96" s="3"/>
      <c r="AX96" s="3"/>
      <c r="AY96" s="3"/>
      <c r="AZ96" s="3"/>
      <c r="BA96" s="3"/>
      <c r="BB96" s="3"/>
      <c r="BC96" s="3"/>
    </row>
    <row r="97" spans="1:55" x14ac:dyDescent="0.15">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3"/>
      <c r="AW97" s="3"/>
      <c r="AX97" s="3"/>
      <c r="AY97" s="3"/>
      <c r="AZ97" s="3"/>
      <c r="BA97" s="3"/>
      <c r="BB97" s="3"/>
      <c r="BC97" s="3"/>
    </row>
    <row r="98" spans="1:55" x14ac:dyDescent="0.15">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3"/>
      <c r="AW98" s="3"/>
      <c r="AX98" s="3"/>
      <c r="AY98" s="3"/>
      <c r="AZ98" s="3"/>
      <c r="BA98" s="3"/>
      <c r="BB98" s="3"/>
      <c r="BC98" s="3"/>
    </row>
    <row r="99" spans="1:55" x14ac:dyDescent="0.15">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3"/>
      <c r="AW99" s="3"/>
      <c r="AX99" s="3"/>
      <c r="AY99" s="3"/>
      <c r="AZ99" s="3"/>
      <c r="BA99" s="3"/>
      <c r="BB99" s="3"/>
      <c r="BC99" s="3"/>
    </row>
    <row r="100" spans="1:55" x14ac:dyDescent="0.15">
      <c r="A100" s="1">
        <f ca="1">MAX(A$9:INDIRECT("A"&amp;ROW()-1))+1</f>
        <v>19</v>
      </c>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3"/>
      <c r="AW100" s="3"/>
      <c r="AX100" s="3"/>
      <c r="AY100" s="3"/>
      <c r="AZ100" s="3"/>
      <c r="BA100" s="3"/>
      <c r="BB100" s="3"/>
      <c r="BC100" s="3"/>
    </row>
    <row r="101" spans="1:55" x14ac:dyDescent="0.15">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3"/>
      <c r="AW101" s="3"/>
      <c r="AX101" s="3"/>
      <c r="AY101" s="3"/>
      <c r="AZ101" s="3"/>
      <c r="BA101" s="3"/>
      <c r="BB101" s="3"/>
      <c r="BC101" s="3"/>
    </row>
    <row r="102" spans="1:55" x14ac:dyDescent="0.15">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3"/>
      <c r="AW102" s="3"/>
      <c r="AX102" s="3"/>
      <c r="AY102" s="3"/>
      <c r="AZ102" s="3"/>
      <c r="BA102" s="3"/>
      <c r="BB102" s="3"/>
      <c r="BC102" s="3"/>
    </row>
    <row r="103" spans="1:55" x14ac:dyDescent="0.15">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3"/>
      <c r="AW103" s="3"/>
      <c r="AX103" s="3"/>
      <c r="AY103" s="3"/>
      <c r="AZ103" s="3"/>
      <c r="BA103" s="3"/>
      <c r="BB103" s="3"/>
      <c r="BC103" s="3"/>
    </row>
    <row r="104" spans="1:55" x14ac:dyDescent="0.15">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3"/>
      <c r="AW104" s="3"/>
      <c r="AX104" s="3"/>
      <c r="AY104" s="3"/>
      <c r="AZ104" s="3"/>
      <c r="BA104" s="3"/>
      <c r="BB104" s="3"/>
      <c r="BC104" s="3"/>
    </row>
    <row r="105" spans="1:55" x14ac:dyDescent="0.15">
      <c r="A105" s="1">
        <f ca="1">MAX(A$9:INDIRECT("A"&amp;ROW()-1))+1</f>
        <v>20</v>
      </c>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3"/>
      <c r="AW105" s="3"/>
      <c r="AX105" s="3"/>
      <c r="AY105" s="3"/>
      <c r="AZ105" s="3"/>
      <c r="BA105" s="3"/>
      <c r="BB105" s="3"/>
      <c r="BC105" s="3"/>
    </row>
    <row r="106" spans="1:55" x14ac:dyDescent="0.15">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3"/>
      <c r="AW106" s="3"/>
      <c r="AX106" s="3"/>
      <c r="AY106" s="3"/>
      <c r="AZ106" s="3"/>
      <c r="BA106" s="3"/>
      <c r="BB106" s="3"/>
      <c r="BC106" s="3"/>
    </row>
    <row r="107" spans="1:55" x14ac:dyDescent="0.15">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3"/>
      <c r="AW107" s="3"/>
      <c r="AX107" s="3"/>
      <c r="AY107" s="3"/>
      <c r="AZ107" s="3"/>
      <c r="BA107" s="3"/>
      <c r="BB107" s="3"/>
      <c r="BC107" s="3"/>
    </row>
    <row r="108" spans="1:55" x14ac:dyDescent="0.15">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3"/>
      <c r="AW108" s="3"/>
      <c r="AX108" s="3"/>
      <c r="AY108" s="3"/>
      <c r="AZ108" s="3"/>
      <c r="BA108" s="3"/>
      <c r="BB108" s="3"/>
      <c r="BC108" s="3"/>
    </row>
    <row r="109" spans="1:55" x14ac:dyDescent="0.15">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3"/>
      <c r="AW109" s="3"/>
      <c r="AX109" s="3"/>
      <c r="AY109" s="3"/>
      <c r="AZ109" s="3"/>
      <c r="BA109" s="3"/>
      <c r="BB109" s="3"/>
      <c r="BC109" s="3"/>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s>
  <phoneticPr fontId="7"/>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000F9A0D-E3DE-440E-9A6F-CF80CAAB6BC7}">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165</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vt:lpstr>
      <vt:lpstr>レビュー記録表_Task.●●</vt:lpstr>
      <vt:lpstr>レビュー記録表_Task.●●!Print_Area</vt:lpstr>
      <vt:lpstr>レビュー前セルフチェック記録表_Task.●●!Print_Area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ASK_001</cp:lastModifiedBy>
  <cp:revision>23</cp:revision>
  <cp:lastPrinted>2017-02-20T01:11:22Z</cp:lastPrinted>
  <dcterms:created xsi:type="dcterms:W3CDTF">2015-06-09T05:01:32Z</dcterms:created>
  <dcterms:modified xsi:type="dcterms:W3CDTF">2025-09-22T05:25:21Z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